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drawings/drawing3.xml" ContentType="application/vnd.openxmlformats-officedocument.drawing+xml"/>
  <Override PartName="/xl/drawings/charts/chart4.xml" ContentType="application/vnd.openxmlformats-officedocument.drawingml.chart+xml"/>
  <Override PartName="/xl/worksheets/sheet13.xml" ContentType="application/vnd.openxmlformats-officedocument.spreadsheetml.worksheet+xml"/>
  <Override PartName="/xl/worksheets/sheet14.xml" ContentType="application/vnd.openxmlformats-officedocument.spreadsheetml.worksheet+xml"/>
  <Override PartName="/xl/drawings/drawing4.xml" ContentType="application/vnd.openxmlformats-officedocument.drawing+xml"/>
  <Override PartName="/xl/drawings/charts/chart5.xml" ContentType="application/vnd.openxmlformats-officedocument.drawingml.char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89bfc7b0245438a" /></Relationships>
</file>

<file path=xl/workbook.xml><?xml version="1.0" encoding="utf-8"?>
<x:workbook xmlns:x="http://schemas.openxmlformats.org/spreadsheetml/2006/main">
  <x:sheets>
    <x:sheet xmlns:r="http://schemas.openxmlformats.org/officeDocument/2006/relationships" name="Executive" sheetId="1" r:id="R3710a9e67a2e4163"/>
    <x:sheet xmlns:r="http://schemas.openxmlformats.org/officeDocument/2006/relationships" name="Guide" sheetId="2" r:id="Re2231bf4f5974b64"/>
    <x:sheet xmlns:r="http://schemas.openxmlformats.org/officeDocument/2006/relationships" name="Dashboard" sheetId="3" r:id="R20b5f637c25249e0"/>
    <x:sheet xmlns:r="http://schemas.openxmlformats.org/officeDocument/2006/relationships" name="Promise Summary" sheetId="4" r:id="Rca55651199174663"/>
    <x:sheet xmlns:r="http://schemas.openxmlformats.org/officeDocument/2006/relationships" name="Promise Ledger" sheetId="5" r:id="Rc8eec0623df445f3"/>
    <x:sheet xmlns:r="http://schemas.openxmlformats.org/officeDocument/2006/relationships" name="Flagship Policies" sheetId="6" r:id="Rb6bfdf97b7b84436"/>
    <x:sheet xmlns:r="http://schemas.openxmlformats.org/officeDocument/2006/relationships" name="Outcomes" sheetId="7" r:id="Red467ff5af2b4290"/>
    <x:sheet xmlns:r="http://schemas.openxmlformats.org/officeDocument/2006/relationships" name="Communications" sheetId="8" r:id="Rbc0003a406844040"/>
    <x:sheet xmlns:r="http://schemas.openxmlformats.org/officeDocument/2006/relationships" name="Admin Health" sheetId="9" r:id="Rc14288c5b4b04d34"/>
    <x:sheet xmlns:r="http://schemas.openxmlformats.org/officeDocument/2006/relationships" name="Current Polls" sheetId="10" r:id="Ra35ac6d8f8ed43d7"/>
    <x:sheet xmlns:r="http://schemas.openxmlformats.org/officeDocument/2006/relationships" name="Current Indicators" sheetId="11" r:id="Rf7d0c87b92d9488a"/>
    <x:sheet xmlns:r="http://schemas.openxmlformats.org/officeDocument/2006/relationships" name="Historical" sheetId="12" r:id="Re19f225ecdde401f"/>
    <x:sheet xmlns:r="http://schemas.openxmlformats.org/officeDocument/2006/relationships" name="Riding Model" sheetId="13" r:id="R6cd684aa3e6a473f"/>
    <x:sheet xmlns:r="http://schemas.openxmlformats.org/officeDocument/2006/relationships" name="Firewall" sheetId="14" r:id="R6ce67259e14f491b"/>
    <x:sheet xmlns:r="http://schemas.openxmlformats.org/officeDocument/2006/relationships" name="Stress Tests" sheetId="15" r:id="Rac5c4fdc1f3e4cf1"/>
    <x:sheet xmlns:r="http://schemas.openxmlformats.org/officeDocument/2006/relationships" name="Conditional Paths" sheetId="16" r:id="R1301eaab6ae745c9"/>
    <x:sheet xmlns:r="http://schemas.openxmlformats.org/officeDocument/2006/relationships" name="Watchlist" sheetId="17" r:id="R96fa4e08206e45ec"/>
    <x:sheet xmlns:r="http://schemas.openxmlformats.org/officeDocument/2006/relationships" name="Phase 2" sheetId="18" r:id="Rd6491d7e80044378"/>
    <x:sheet xmlns:r="http://schemas.openxmlformats.org/officeDocument/2006/relationships" name="Claims &amp; QA" sheetId="19" r:id="Ra8783dd45f404abf"/>
    <x:sheet xmlns:r="http://schemas.openxmlformats.org/officeDocument/2006/relationships" name="Sources" sheetId="20" r:id="Ra6caa44a7e1948ed"/>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yyyy-mm-dd"/>
    <x:numFmt numFmtId="201" formatCode="0.0"/>
    <x:numFmt numFmtId="202" formatCode="0.0%"/>
    <x:numFmt numFmtId="203" formatCode="0.0000"/>
    <x:numFmt numFmtId="204" formatCode="0.0&quot; pts&quot;"/>
    <x:numFmt numFmtId="205" formatCode="0.0&quot;%&quot;"/>
  </x:numFmts>
  <x:fonts count="12">
    <x:font>
      <x:sz val="11"/>
      <x:name val="Carlito"/>
    </x:font>
    <x:font>
      <x:b/>
      <x:sz val="18"/>
      <x:color rgb="FFFFFFFF"/>
      <x:name val="Carlito"/>
    </x:font>
    <x:font>
      <x:i/>
      <x:sz val="9"/>
      <x:color rgb="FF6B7780"/>
      <x:name val="Carlito"/>
    </x:font>
    <x:font>
      <x:sz val="9"/>
      <x:color rgb="FF263238"/>
      <x:name val="Carlito"/>
    </x:font>
    <x:font>
      <x:b/>
      <x:sz val="10"/>
      <x:color rgb="FF173B57"/>
      <x:name val="Carlito"/>
    </x:font>
    <x:font>
      <x:i/>
      <x:sz val="9"/>
      <x:color rgb="FF263238"/>
      <x:name val="Carlito"/>
    </x:font>
    <x:font>
      <x:b/>
      <x:sz val="9"/>
      <x:color rgb="FFFFFFFF"/>
      <x:name val="Carlito"/>
    </x:font>
    <x:font>
      <x:sz val="8"/>
      <x:color rgb="FF263238"/>
      <x:name val="Carlito"/>
    </x:font>
    <x:font>
      <x:b/>
      <x:sz val="9"/>
      <x:color rgb="FF173B57"/>
      <x:name val="Carlito"/>
    </x:font>
    <x:font>
      <x:b/>
      <x:sz val="17"/>
      <x:color rgb="FF173B57"/>
      <x:name val="Carlito"/>
    </x:font>
    <x:font>
      <x:b/>
      <x:sz val="17"/>
      <x:color rgb="FFB94A48"/>
      <x:name val="Carlito"/>
    </x:font>
    <x:font>
      <x:b/>
      <x:sz val="10"/>
      <x:color rgb="FF2E5740"/>
      <x:name val="Carlito"/>
    </x:font>
  </x:fonts>
  <x:fills count="8">
    <x:fill>
      <x:patternFill patternType="none"/>
    </x:fill>
    <x:fill>
      <x:patternFill patternType="gray125"/>
    </x:fill>
    <x:fill>
      <x:patternFill patternType="solid">
        <x:fgColor rgb="FF173B57"/>
      </x:patternFill>
    </x:fill>
    <x:fill>
      <x:patternFill patternType="solid">
        <x:fgColor rgb="FFEEF3F6"/>
      </x:patternFill>
    </x:fill>
    <x:fill>
      <x:patternFill patternType="solid">
        <x:fgColor rgb="FFFBF2D7"/>
      </x:patternFill>
    </x:fill>
    <x:fill>
      <x:patternFill patternType="solid">
        <x:fgColor rgb="FF3E7CA6"/>
      </x:patternFill>
    </x:fill>
    <x:fill>
      <x:patternFill patternType="solid">
        <x:fgColor rgb="FFFFFFFF"/>
      </x:patternFill>
    </x:fill>
    <x:fill>
      <x:patternFill patternType="solid">
        <x:fgColor rgb="FFE6F2EA"/>
      </x:patternFill>
    </x:fill>
  </x:fills>
  <x:borders count="22">
    <x:border/>
    <x:border>
      <x:bottom style="thin">
        <x:color rgb="FFC9D5DE"/>
      </x:bottom>
    </x:border>
    <x:border>
      <x:top style="thin">
        <x:color rgb="FFC9D5DE"/>
      </x:top>
      <x:bottom style="thin">
        <x:color rgb="FFC9D5DE"/>
      </x:bottom>
    </x:border>
    <x:border>
      <x:top style="thin">
        <x:color rgb="FFC9D5DE"/>
      </x:top>
    </x:border>
    <x:border>
      <x:left style="thin">
        <x:color rgb="FFC9D5DE"/>
      </x:left>
      <x:right style="thin">
        <x:color rgb="FFC9D5DE"/>
      </x:right>
      <x:top style="thin">
        <x:color rgb="FFC9D5DE"/>
      </x:top>
      <x:bottom style="thin">
        <x:color rgb="FFC9D5DE"/>
      </x:bottom>
    </x:border>
    <x:border>
      <x:left style="thin">
        <x:color rgb="FFC9D5DE"/>
      </x:left>
      <x:top style="thin">
        <x:color rgb="FFC9D5DE"/>
      </x:top>
      <x:bottom style="thin">
        <x:color rgb="FFC9D5DE"/>
      </x:bottom>
    </x:border>
    <x:border>
      <x:right style="thin">
        <x:color rgb="FFC9D5DE"/>
      </x:right>
      <x:top style="thin">
        <x:color rgb="FFC9D5DE"/>
      </x:top>
      <x:bottom style="thin">
        <x:color rgb="FFC9D5DE"/>
      </x:bottom>
    </x:border>
    <x:border>
      <x:left style="thin">
        <x:color rgb="FFC9D5DE"/>
      </x:left>
      <x:top style="thin">
        <x:color rgb="FFC9D5DE"/>
      </x:top>
    </x:border>
    <x:border>
      <x:right style="thin">
        <x:color rgb="FFC9D5DE"/>
      </x:right>
      <x:top style="thin">
        <x:color rgb="FFC9D5DE"/>
      </x:top>
    </x:border>
    <x:border>
      <x:left style="thin">
        <x:color rgb="FFC9D5DE"/>
      </x:left>
    </x:border>
    <x:border>
      <x:right style="thin">
        <x:color rgb="FFC9D5DE"/>
      </x:right>
    </x:border>
    <x:border>
      <x:left style="thin">
        <x:color rgb="FFC9D5DE"/>
      </x:left>
      <x:bottom style="thin">
        <x:color rgb="FFC9D5DE"/>
      </x:bottom>
    </x:border>
    <x:border>
      <x:right style="thin">
        <x:color rgb="FFC9D5DE"/>
      </x:right>
      <x:bottom style="thin">
        <x:color rgb="FFC9D5DE"/>
      </x:bottom>
    </x:border>
    <x:border>
      <x:left style="thin">
        <x:color rgb="FFC9D5DE"/>
      </x:left>
      <x:right style="thin">
        <x:color rgb="FFC9D5DE"/>
      </x:right>
      <x:top style="thin">
        <x:color rgb="FFC9D5DE"/>
      </x:top>
    </x:border>
    <x:border>
      <x:left style="thin">
        <x:color rgb="FFC9D5DE"/>
      </x:left>
      <x:right style="thin">
        <x:color rgb="FFC9D5DE"/>
      </x:right>
    </x:border>
    <x:border>
      <x:left style="thin">
        <x:color rgb="FFC9D5DE"/>
      </x:left>
      <x:right style="thin">
        <x:color rgb="FFC9D5DE"/>
      </x:right>
      <x:bottom style="thin">
        <x:color rgb="FFC9D5DE"/>
      </x:bottom>
    </x:border>
    <x:border>
      <x:left style="thin">
        <x:color rgb="FF4C956C"/>
      </x:left>
      <x:top style="thin">
        <x:color rgb="FF4C956C"/>
      </x:top>
    </x:border>
    <x:border>
      <x:top style="thin">
        <x:color rgb="FF4C956C"/>
      </x:top>
    </x:border>
    <x:border>
      <x:right style="thin">
        <x:color rgb="FF4C956C"/>
      </x:right>
      <x:top style="thin">
        <x:color rgb="FF4C956C"/>
      </x:top>
    </x:border>
    <x:border>
      <x:left style="thin">
        <x:color rgb="FF4C956C"/>
      </x:left>
      <x:bottom style="thin">
        <x:color rgb="FF4C956C"/>
      </x:bottom>
    </x:border>
    <x:border>
      <x:bottom style="thin">
        <x:color rgb="FF4C956C"/>
      </x:bottom>
    </x:border>
    <x:border>
      <x:right style="thin">
        <x:color rgb="FF4C956C"/>
      </x:right>
      <x:bottom style="thin">
        <x:color rgb="FF4C956C"/>
      </x:bottom>
    </x:border>
  </x:borders>
  <x:cellStyleXfs count="1">
    <x:xf numFmtId="0" fontId="0" fillId="0" borderId="0"/>
  </x:cellStyleXfs>
  <x:cellXfs count="22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0" borderId="0" xfId="0" applyNumberFormat="1" applyFont="1" applyFill="1" applyBorder="1"/>
    <x:xf numFmtId="0" fontId="3" fillId="0" borderId="1" xfId="0" applyNumberFormat="1" applyFont="1" applyFill="1" applyBorder="1"/>
    <x:xf numFmtId="0" fontId="3" fillId="0" borderId="2" xfId="0" applyNumberFormat="1" applyFont="1" applyFill="1" applyBorder="1"/>
    <x:xf numFmtId="0" fontId="3" fillId="0" borderId="3" xfId="0" applyNumberFormat="1" applyFont="1" applyFill="1" applyBorder="1"/>
    <x:xf numFmtId="0" fontId="3" fillId="0" borderId="1" xfId="0" applyNumberFormat="1" applyFont="1" applyFill="1" applyBorder="1" applyAlignment="1">
      <x:alignment vertical="top"/>
    </x:xf>
    <x:xf numFmtId="0" fontId="3" fillId="0" borderId="2" xfId="0" applyNumberFormat="1" applyFont="1" applyFill="1" applyBorder="1" applyAlignment="1">
      <x:alignment vertical="top"/>
    </x:xf>
    <x:xf numFmtId="0" fontId="3" fillId="0" borderId="3" xfId="0" applyNumberFormat="1" applyFont="1" applyFill="1" applyBorder="1" applyAlignment="1">
      <x:alignment vertical="top"/>
    </x:xf>
    <x:xf numFmtId="0" fontId="3" fillId="3" borderId="1" xfId="0" applyNumberFormat="1" applyFont="1" applyFill="1" applyBorder="1" applyAlignment="1">
      <x:alignment vertical="top"/>
    </x:xf>
    <x:xf numFmtId="0" fontId="3" fillId="3" borderId="2" xfId="0" applyNumberFormat="1" applyFont="1" applyFill="1" applyBorder="1" applyAlignment="1">
      <x:alignment vertical="top"/>
    </x:xf>
    <x:xf numFmtId="0" fontId="3" fillId="3" borderId="3" xfId="0" applyNumberFormat="1" applyFont="1" applyFill="1" applyBorder="1" applyAlignment="1">
      <x:alignment vertical="top"/>
    </x:xf>
    <x:xf numFmtId="0" fontId="4" fillId="3" borderId="1" xfId="0" applyNumberFormat="1" applyFont="1" applyFill="1" applyBorder="1" applyAlignment="1">
      <x:alignment vertical="top"/>
    </x:xf>
    <x:xf numFmtId="0" fontId="4" fillId="3" borderId="2" xfId="0" applyNumberFormat="1" applyFont="1" applyFill="1" applyBorder="1" applyAlignment="1">
      <x:alignment vertical="top"/>
    </x:xf>
    <x:xf numFmtId="0" fontId="4" fillId="3" borderId="3" xfId="0" applyNumberFormat="1" applyFont="1" applyFill="1" applyBorder="1" applyAlignment="1">
      <x:alignment vertical="top"/>
    </x:xf>
    <x:xf numFmtId="0" fontId="4" fillId="3" borderId="4" xfId="0" applyNumberFormat="1" applyFont="1" applyFill="1" applyBorder="1" applyAlignment="1">
      <x:alignment vertical="top"/>
    </x:xf>
    <x:xf numFmtId="0" fontId="4" fillId="3" borderId="4" xfId="0" applyNumberFormat="1" applyFont="1" applyFill="1" applyBorder="1" applyAlignment="1">
      <x:alignment vertical="top" wrapText="1"/>
    </x:xf>
    <x:xf numFmtId="200" fontId="3" fillId="0" borderId="1" xfId="0" applyNumberFormat="1" applyFont="1" applyFill="1" applyBorder="1" applyAlignment="1">
      <x:alignment vertical="top"/>
    </x:xf>
    <x:xf numFmtId="0" fontId="4" fillId="3" borderId="0" xfId="0" applyNumberFormat="1" applyFont="1" applyFill="1" applyBorder="1"/>
    <x:xf numFmtId="0" fontId="4" fillId="3" borderId="5" xfId="0" applyNumberFormat="1" applyFont="1" applyFill="1" applyBorder="1"/>
    <x:xf numFmtId="0" fontId="4" fillId="3" borderId="2" xfId="0" applyNumberFormat="1" applyFont="1" applyFill="1" applyBorder="1"/>
    <x:xf numFmtId="0" fontId="4" fillId="3" borderId="6" xfId="0" applyNumberFormat="1" applyFont="1" applyFill="1" applyBorder="1"/>
    <x:xf numFmtId="0" fontId="4" fillId="3" borderId="5" xfId="0" applyNumberFormat="1" applyFont="1" applyFill="1" applyBorder="1" applyAlignment="1">
      <x:alignment wrapText="1"/>
    </x:xf>
    <x:xf numFmtId="0" fontId="4" fillId="3" borderId="2" xfId="0" applyNumberFormat="1" applyFont="1" applyFill="1" applyBorder="1" applyAlignment="1">
      <x:alignment wrapText="1"/>
    </x:xf>
    <x:xf numFmtId="0" fontId="4" fillId="3" borderId="6" xfId="0" applyNumberFormat="1" applyFont="1" applyFill="1" applyBorder="1" applyAlignment="1">
      <x:alignment wrapText="1"/>
    </x:xf>
    <x:xf numFmtId="0" fontId="3" fillId="0" borderId="1" xfId="0" applyNumberFormat="1" applyFont="1" applyFill="1" applyBorder="1" applyAlignment="1">
      <x:alignment vertical="top" wrapText="1"/>
    </x:xf>
    <x:xf numFmtId="0" fontId="3" fillId="0" borderId="2" xfId="0" applyNumberFormat="1" applyFont="1" applyFill="1" applyBorder="1" applyAlignment="1">
      <x:alignment vertical="top" wrapText="1"/>
    </x:xf>
    <x:xf numFmtId="0" fontId="3" fillId="0" borderId="3" xfId="0" applyNumberFormat="1" applyFont="1" applyFill="1" applyBorder="1" applyAlignment="1">
      <x:alignment vertical="top" wrapText="1"/>
    </x:xf>
    <x:xf numFmtId="0" fontId="0" fillId="4" borderId="0" xfId="0" applyNumberFormat="1" applyFont="1" applyFill="1" applyBorder="1"/>
    <x:xf numFmtId="0" fontId="5" fillId="4" borderId="0" xfId="0" applyNumberFormat="1" applyFont="1" applyFill="1" applyBorder="1"/>
    <x:xf numFmtId="0" fontId="5" fillId="4" borderId="7" xfId="0" applyNumberFormat="1" applyFont="1" applyFill="1" applyBorder="1"/>
    <x:xf numFmtId="0" fontId="5" fillId="4" borderId="3" xfId="0" applyNumberFormat="1" applyFont="1" applyFill="1" applyBorder="1"/>
    <x:xf numFmtId="0" fontId="5" fillId="4" borderId="8" xfId="0" applyNumberFormat="1" applyFont="1" applyFill="1" applyBorder="1"/>
    <x:xf numFmtId="0" fontId="5" fillId="4" borderId="9" xfId="0" applyNumberFormat="1" applyFont="1" applyFill="1" applyBorder="1"/>
    <x:xf numFmtId="0" fontId="5" fillId="4" borderId="10" xfId="0" applyNumberFormat="1" applyFont="1" applyFill="1" applyBorder="1"/>
    <x:xf numFmtId="0" fontId="5" fillId="4" borderId="11" xfId="0" applyNumberFormat="1" applyFont="1" applyFill="1" applyBorder="1"/>
    <x:xf numFmtId="0" fontId="5" fillId="4" borderId="1" xfId="0" applyNumberFormat="1" applyFont="1" applyFill="1" applyBorder="1"/>
    <x:xf numFmtId="0" fontId="5" fillId="4" borderId="12" xfId="0" applyNumberFormat="1" applyFont="1" applyFill="1" applyBorder="1"/>
    <x:xf numFmtId="0" fontId="5" fillId="4" borderId="7" xfId="0" applyNumberFormat="1" applyFont="1" applyFill="1" applyBorder="1" applyAlignment="1">
      <x:alignment wrapText="1"/>
    </x:xf>
    <x:xf numFmtId="0" fontId="5" fillId="4" borderId="3" xfId="0" applyNumberFormat="1" applyFont="1" applyFill="1" applyBorder="1" applyAlignment="1">
      <x:alignment wrapText="1"/>
    </x:xf>
    <x:xf numFmtId="0" fontId="5" fillId="4" borderId="8" xfId="0" applyNumberFormat="1" applyFont="1" applyFill="1" applyBorder="1" applyAlignment="1">
      <x:alignment wrapText="1"/>
    </x:xf>
    <x:xf numFmtId="0" fontId="5" fillId="4" borderId="9" xfId="0" applyNumberFormat="1" applyFont="1" applyFill="1" applyBorder="1" applyAlignment="1">
      <x:alignment wrapText="1"/>
    </x:xf>
    <x:xf numFmtId="0" fontId="5" fillId="4" borderId="0" xfId="0" applyNumberFormat="1" applyFont="1" applyFill="1" applyBorder="1" applyAlignment="1">
      <x:alignment wrapText="1"/>
    </x:xf>
    <x:xf numFmtId="0" fontId="5" fillId="4" borderId="10" xfId="0" applyNumberFormat="1" applyFont="1" applyFill="1" applyBorder="1" applyAlignment="1">
      <x:alignment wrapText="1"/>
    </x:xf>
    <x:xf numFmtId="0" fontId="5" fillId="4" borderId="11" xfId="0" applyNumberFormat="1" applyFont="1" applyFill="1" applyBorder="1" applyAlignment="1">
      <x:alignment wrapText="1"/>
    </x:xf>
    <x:xf numFmtId="0" fontId="5" fillId="4" borderId="1" xfId="0" applyNumberFormat="1" applyFont="1" applyFill="1" applyBorder="1" applyAlignment="1">
      <x:alignment wrapText="1"/>
    </x:xf>
    <x:xf numFmtId="0" fontId="5" fillId="4" borderId="12" xfId="0" applyNumberFormat="1" applyFont="1" applyFill="1" applyBorder="1" applyAlignment="1">
      <x:alignment wrapText="1"/>
    </x:xf>
    <x:xf numFmtId="0" fontId="5" fillId="4" borderId="7" xfId="0" applyNumberFormat="1" applyFont="1" applyFill="1" applyBorder="1" applyAlignment="1">
      <x:alignment vertical="center" wrapText="1"/>
    </x:xf>
    <x:xf numFmtId="0" fontId="5" fillId="4" borderId="3" xfId="0" applyNumberFormat="1" applyFont="1" applyFill="1" applyBorder="1" applyAlignment="1">
      <x:alignment vertical="center" wrapText="1"/>
    </x:xf>
    <x:xf numFmtId="0" fontId="5" fillId="4" borderId="8" xfId="0" applyNumberFormat="1" applyFont="1" applyFill="1" applyBorder="1" applyAlignment="1">
      <x:alignment vertical="center" wrapText="1"/>
    </x:xf>
    <x:xf numFmtId="0" fontId="5" fillId="4" borderId="9"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5" fillId="4" borderId="10" xfId="0" applyNumberFormat="1" applyFont="1" applyFill="1" applyBorder="1" applyAlignment="1">
      <x:alignment vertical="center" wrapText="1"/>
    </x:xf>
    <x:xf numFmtId="0" fontId="5" fillId="4" borderId="11" xfId="0" applyNumberFormat="1" applyFont="1" applyFill="1" applyBorder="1" applyAlignment="1">
      <x:alignment vertical="center" wrapText="1"/>
    </x:xf>
    <x:xf numFmtId="0" fontId="5" fillId="4" borderId="1" xfId="0" applyNumberFormat="1" applyFont="1" applyFill="1" applyBorder="1" applyAlignment="1">
      <x:alignment vertical="center" wrapText="1"/>
    </x:xf>
    <x:xf numFmtId="0" fontId="5" fillId="4" borderId="12" xfId="0" applyNumberFormat="1" applyFont="1" applyFill="1" applyBorder="1" applyAlignment="1">
      <x:alignment vertical="center" wrapText="1"/>
    </x:xf>
    <x:xf numFmtId="0" fontId="0" fillId="5" borderId="0" xfId="0" applyNumberFormat="1" applyFont="1" applyFill="1" applyBorder="1"/>
    <x:xf numFmtId="0" fontId="6" fillId="5" borderId="0" xfId="0" applyNumberFormat="1" applyFont="1" applyFill="1" applyBorder="1"/>
    <x:xf numFmtId="0" fontId="6" fillId="5" borderId="5" xfId="0" applyNumberFormat="1" applyFont="1" applyFill="1" applyBorder="1"/>
    <x:xf numFmtId="0" fontId="6" fillId="5" borderId="2" xfId="0" applyNumberFormat="1" applyFont="1" applyFill="1" applyBorder="1"/>
    <x:xf numFmtId="0" fontId="6" fillId="5" borderId="6" xfId="0" applyNumberFormat="1" applyFont="1" applyFill="1" applyBorder="1"/>
    <x:xf numFmtId="0" fontId="6" fillId="5" borderId="5" xfId="0" applyNumberFormat="1" applyFont="1" applyFill="1" applyBorder="1" applyAlignment="1">
      <x:alignment wrapText="1"/>
    </x:xf>
    <x:xf numFmtId="0" fontId="6" fillId="5" borderId="2" xfId="0" applyNumberFormat="1" applyFont="1" applyFill="1" applyBorder="1" applyAlignment="1">
      <x:alignment wrapText="1"/>
    </x:xf>
    <x:xf numFmtId="0" fontId="6" fillId="5" borderId="6" xfId="0" applyNumberFormat="1" applyFont="1" applyFill="1" applyBorder="1" applyAlignment="1">
      <x:alignment wrapText="1"/>
    </x:xf>
    <x:xf numFmtId="0" fontId="6" fillId="5" borderId="5" xfId="0" applyNumberFormat="1" applyFont="1" applyFill="1" applyBorder="1" applyAlignment="1">
      <x:alignment vertical="center" wrapText="1"/>
    </x:xf>
    <x:xf numFmtId="0" fontId="6" fillId="5" borderId="2" xfId="0" applyNumberFormat="1" applyFont="1" applyFill="1" applyBorder="1" applyAlignment="1">
      <x:alignment vertical="center" wrapText="1"/>
    </x:xf>
    <x:xf numFmtId="0" fontId="6" fillId="5" borderId="6" xfId="0" applyNumberFormat="1" applyFont="1" applyFill="1" applyBorder="1" applyAlignment="1">
      <x:alignment vertical="center" wrapText="1"/>
    </x:xf>
    <x:xf numFmtId="0" fontId="7" fillId="0" borderId="0" xfId="0" applyNumberFormat="1" applyFont="1" applyFill="1" applyBorder="1"/>
    <x:xf numFmtId="0" fontId="7" fillId="0" borderId="1"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1" xfId="0" applyNumberFormat="1" applyFont="1" applyFill="1" applyBorder="1" applyAlignment="1">
      <x:alignment vertical="top"/>
    </x:xf>
    <x:xf numFmtId="0" fontId="7" fillId="0" borderId="2" xfId="0" applyNumberFormat="1" applyFont="1" applyFill="1" applyBorder="1" applyAlignment="1">
      <x:alignment vertical="top"/>
    </x:xf>
    <x:xf numFmtId="0" fontId="7" fillId="0" borderId="3" xfId="0" applyNumberFormat="1" applyFont="1" applyFill="1" applyBorder="1" applyAlignment="1">
      <x:alignment vertical="top"/>
    </x:xf>
    <x:xf numFmtId="0" fontId="7" fillId="0" borderId="1" xfId="0" applyNumberFormat="1" applyFont="1" applyFill="1" applyBorder="1" applyAlignment="1">
      <x:alignment vertical="top"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8" fillId="0" borderId="1" xfId="0" applyNumberFormat="1" applyFont="1" applyFill="1" applyBorder="1" applyAlignment="1">
      <x:alignment vertical="top" wrapText="1"/>
    </x:xf>
    <x:xf numFmtId="0" fontId="8" fillId="0" borderId="2" xfId="0" applyNumberFormat="1" applyFont="1" applyFill="1" applyBorder="1" applyAlignment="1">
      <x:alignment vertical="top" wrapText="1"/>
    </x:xf>
    <x:xf numFmtId="0" fontId="8" fillId="0" borderId="3"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7" fillId="0" borderId="0" xfId="0" applyNumberFormat="1" applyFont="1" applyFill="1" applyBorder="1">
      <x:extLst>
        <x:ext uri="{C7286773-470A-42A8-94C5-96B5CB345126}">
          <xfpb:xfComplement xmlns:xfpb="http://schemas.microsoft.com/office/spreadsheetml/2022/featurepropertybag" i="0"/>
        </x:ext>
      </x:extLst>
    </x:xf>
    <x:xf numFmtId="0" fontId="7" fillId="0" borderId="1" xfId="0" applyNumberFormat="1" applyFont="1" applyFill="1" applyBorder="1">
      <x:extLst>
        <x:ext uri="{C7286773-470A-42A8-94C5-96B5CB345126}">
          <xfpb:xfComplement xmlns:xfpb="http://schemas.microsoft.com/office/spreadsheetml/2022/featurepropertybag" i="0"/>
        </x:ext>
      </x:extLst>
    </x:xf>
    <x:xf numFmtId="0" fontId="7" fillId="0" borderId="2" xfId="0" applyNumberFormat="1" applyFont="1" applyFill="1" applyBorder="1">
      <x:extLst>
        <x:ext uri="{C7286773-470A-42A8-94C5-96B5CB345126}">
          <xfpb:xfComplement xmlns:xfpb="http://schemas.microsoft.com/office/spreadsheetml/2022/featurepropertybag" i="0"/>
        </x:ext>
      </x:extLst>
    </x:xf>
    <x:xf numFmtId="0" fontId="7" fillId="0" borderId="3" xfId="0" applyNumberFormat="1" applyFont="1" applyFill="1" applyBorder="1">
      <x:extLst>
        <x:ext uri="{C7286773-470A-42A8-94C5-96B5CB345126}">
          <xfpb:xfComplement xmlns:xfpb="http://schemas.microsoft.com/office/spreadsheetml/2022/featurepropertybag" i="0"/>
        </x:ext>
      </x:extLst>
    </x:xf>
    <x:xf numFmtId="0" fontId="7"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7"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7"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7"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7" fillId="0" borderId="1" xfId="0" applyNumberFormat="1" applyFont="1" applyFill="1" applyBorder="1" applyAlignment="1">
      <x:alignment vertical="top" wrapText="1"/>
    </x:xf>
    <x:xf numFmtId="200" fontId="7" fillId="0" borderId="2"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0" fontId="4" fillId="3" borderId="13" xfId="0" applyNumberFormat="1" applyFont="1" applyFill="1" applyBorder="1"/>
    <x:xf numFmtId="0" fontId="4" fillId="3" borderId="14" xfId="0" applyNumberFormat="1" applyFont="1" applyFill="1" applyBorder="1"/>
    <x:xf numFmtId="0" fontId="4" fillId="3" borderId="15" xfId="0" applyNumberFormat="1" applyFont="1" applyFill="1" applyBorder="1"/>
    <x:xf numFmtId="0" fontId="4" fillId="3" borderId="13" xfId="0" applyNumberFormat="1" applyFont="1" applyFill="1" applyBorder="1" applyAlignment="1">
      <x:alignment wrapText="1"/>
    </x:xf>
    <x:xf numFmtId="0" fontId="4" fillId="3" borderId="14" xfId="0" applyNumberFormat="1" applyFont="1" applyFill="1" applyBorder="1" applyAlignment="1">
      <x:alignment wrapText="1"/>
    </x:xf>
    <x:xf numFmtId="0" fontId="4" fillId="3" borderId="15" xfId="0" applyNumberFormat="1" applyFont="1" applyFill="1" applyBorder="1" applyAlignment="1">
      <x:alignment wrapText="1"/>
    </x:xf>
    <x:xf numFmtId="200" fontId="7" fillId="0" borderId="1" xfId="0" applyNumberFormat="1" applyFont="1" applyFill="1" applyBorder="1" applyAlignment="1">
      <x:alignment vertical="top"/>
    </x:xf>
    <x:xf numFmtId="200" fontId="7" fillId="0" borderId="2" xfId="0" applyNumberFormat="1" applyFont="1" applyFill="1" applyBorder="1" applyAlignment="1">
      <x:alignment vertical="top"/>
    </x:xf>
    <x:xf numFmtId="200" fontId="7" fillId="0" borderId="3" xfId="0" applyNumberFormat="1" applyFont="1" applyFill="1" applyBorder="1" applyAlignment="1">
      <x:alignment vertical="top"/>
    </x:xf>
    <x:xf numFmtId="201" fontId="7" fillId="0" borderId="1" xfId="0" applyNumberFormat="1" applyFont="1" applyFill="1" applyBorder="1" applyAlignment="1">
      <x:alignment vertical="top"/>
    </x:xf>
    <x:xf numFmtId="201" fontId="7"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7" fillId="0" borderId="2" xfId="0" applyNumberFormat="1" applyFont="1" applyFill="1" applyBorder="1" applyAlignment="1">
      <x:alignment vertical="top"/>
    </x:xf>
    <x:xf numFmtId="201" fontId="7"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7" fillId="0" borderId="3" xfId="0" applyNumberFormat="1" applyFont="1" applyFill="1" applyBorder="1" applyAlignment="1">
      <x:alignment vertical="top"/>
    </x:xf>
    <x:xf numFmtId="201" fontId="7"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4" fillId="3" borderId="2" xfId="0" applyNumberFormat="1" applyFont="1" applyFill="1" applyBorder="1" applyAlignment="1">
      <x:alignment wrapText="1"/>
    </x:xf>
    <x:xf numFmtId="202" fontId="7" fillId="0" borderId="1" xfId="0" applyNumberFormat="1" applyFont="1" applyFill="1" applyBorder="1" applyAlignment="1">
      <x:alignment vertical="top"/>
    </x:xf>
    <x:xf numFmtId="202" fontId="7" fillId="0" borderId="2" xfId="0" applyNumberFormat="1" applyFont="1" applyFill="1" applyBorder="1" applyAlignment="1">
      <x:alignment vertical="top"/>
    </x:xf>
    <x:xf numFmtId="202" fontId="7" fillId="0" borderId="3" xfId="0" applyNumberFormat="1" applyFont="1" applyFill="1" applyBorder="1" applyAlignment="1">
      <x:alignment vertical="top"/>
    </x:xf>
    <x:xf numFmtId="201" fontId="7" fillId="0" borderId="1" xfId="0" applyNumberFormat="1" applyFont="1" applyFill="1" applyBorder="1" applyAlignment="1">
      <x:alignment vertical="top" wrapText="1"/>
    </x:xf>
    <x:xf numFmtId="201" fontId="7" fillId="0" borderId="2" xfId="0" applyNumberFormat="1" applyFont="1" applyFill="1" applyBorder="1" applyAlignment="1">
      <x:alignment vertical="top" wrapText="1"/>
    </x:xf>
    <x:xf numFmtId="201" fontId="7" fillId="0" borderId="3" xfId="0" applyNumberFormat="1" applyFont="1" applyFill="1" applyBorder="1" applyAlignment="1">
      <x:alignment vertical="top" wrapText="1"/>
    </x:xf>
    <x:xf numFmtId="203" fontId="3" fillId="0" borderId="1" xfId="0" applyNumberFormat="1" applyFont="1" applyFill="1" applyBorder="1" applyAlignment="1">
      <x:alignment vertical="top"/>
    </x:xf>
    <x:xf numFmtId="203" fontId="3" fillId="0" borderId="2" xfId="0" applyNumberFormat="1" applyFont="1" applyFill="1" applyBorder="1" applyAlignment="1">
      <x:alignment vertical="top"/>
    </x:xf>
    <x:xf numFmtId="0" fontId="6" fillId="5" borderId="4" xfId="0" applyNumberFormat="1" applyFont="1" applyFill="1" applyBorder="1"/>
    <x:xf numFmtId="0" fontId="6" fillId="5" borderId="4" xfId="0" applyNumberFormat="1" applyFont="1" applyFill="1" applyBorder="1" applyAlignment="1">
      <x:alignment wrapText="1"/>
    </x:xf>
    <x:xf numFmtId="0" fontId="6" fillId="5" borderId="4" xfId="0" applyNumberFormat="1" applyFont="1" applyFill="1" applyBorder="1" applyAlignment="1">
      <x:alignment vertical="center" wrapText="1"/>
    </x:xf>
    <x:xf numFmtId="0" fontId="0" fillId="6" borderId="0" xfId="0" applyNumberFormat="1" applyFont="1" applyFill="1" applyBorder="1"/>
    <x:xf numFmtId="0" fontId="9" fillId="6" borderId="0" xfId="0" applyNumberFormat="1" applyFont="1" applyFill="1" applyBorder="1"/>
    <x:xf numFmtId="0" fontId="9" fillId="6" borderId="7" xfId="0" applyNumberFormat="1" applyFont="1" applyFill="1" applyBorder="1"/>
    <x:xf numFmtId="0" fontId="9" fillId="6" borderId="3" xfId="0" applyNumberFormat="1" applyFont="1" applyFill="1" applyBorder="1"/>
    <x:xf numFmtId="0" fontId="9" fillId="6" borderId="8" xfId="0" applyNumberFormat="1" applyFont="1" applyFill="1" applyBorder="1"/>
    <x:xf numFmtId="0" fontId="9" fillId="6" borderId="9" xfId="0" applyNumberFormat="1" applyFont="1" applyFill="1" applyBorder="1"/>
    <x:xf numFmtId="0" fontId="9" fillId="6" borderId="10" xfId="0" applyNumberFormat="1" applyFont="1" applyFill="1" applyBorder="1"/>
    <x:xf numFmtId="0" fontId="9" fillId="6" borderId="11" xfId="0" applyNumberFormat="1" applyFont="1" applyFill="1" applyBorder="1"/>
    <x:xf numFmtId="0" fontId="9" fillId="6" borderId="1" xfId="0" applyNumberFormat="1" applyFont="1" applyFill="1" applyBorder="1"/>
    <x:xf numFmtId="0" fontId="9" fillId="6" borderId="12" xfId="0" applyNumberFormat="1" applyFont="1" applyFill="1" applyBorder="1"/>
    <x:xf numFmtId="0" fontId="9" fillId="6" borderId="7" xfId="0" applyNumberFormat="1" applyFont="1" applyFill="1" applyBorder="1" applyAlignment="1">
      <x:alignment horizontal="center"/>
    </x:xf>
    <x:xf numFmtId="0" fontId="9" fillId="6" borderId="3" xfId="0" applyNumberFormat="1" applyFont="1" applyFill="1" applyBorder="1" applyAlignment="1">
      <x:alignment horizontal="center"/>
    </x:xf>
    <x:xf numFmtId="0" fontId="9" fillId="6" borderId="8" xfId="0" applyNumberFormat="1" applyFont="1" applyFill="1" applyBorder="1" applyAlignment="1">
      <x:alignment horizontal="center"/>
    </x:xf>
    <x:xf numFmtId="0" fontId="9" fillId="6" borderId="9" xfId="0" applyNumberFormat="1" applyFont="1" applyFill="1" applyBorder="1" applyAlignment="1">
      <x:alignment horizontal="center"/>
    </x:xf>
    <x:xf numFmtId="0" fontId="9" fillId="6" borderId="0" xfId="0" applyNumberFormat="1" applyFont="1" applyFill="1" applyBorder="1" applyAlignment="1">
      <x:alignment horizontal="center"/>
    </x:xf>
    <x:xf numFmtId="0" fontId="9" fillId="6" borderId="10" xfId="0" applyNumberFormat="1" applyFont="1" applyFill="1" applyBorder="1" applyAlignment="1">
      <x:alignment horizontal="center"/>
    </x:xf>
    <x:xf numFmtId="0" fontId="9" fillId="6" borderId="11" xfId="0" applyNumberFormat="1" applyFont="1" applyFill="1" applyBorder="1" applyAlignment="1">
      <x:alignment horizontal="center"/>
    </x:xf>
    <x:xf numFmtId="0" fontId="9" fillId="6" borderId="1" xfId="0" applyNumberFormat="1" applyFont="1" applyFill="1" applyBorder="1" applyAlignment="1">
      <x:alignment horizontal="center"/>
    </x:xf>
    <x:xf numFmtId="0" fontId="9" fillId="6" borderId="12" xfId="0" applyNumberFormat="1" applyFont="1" applyFill="1" applyBorder="1" applyAlignment="1">
      <x:alignment horizontal="center"/>
    </x:xf>
    <x:xf numFmtId="0" fontId="9" fillId="6" borderId="7" xfId="0" applyNumberFormat="1" applyFont="1" applyFill="1" applyBorder="1" applyAlignment="1">
      <x:alignment horizontal="center" vertical="center"/>
    </x:xf>
    <x:xf numFmtId="0" fontId="9" fillId="6" borderId="3" xfId="0" applyNumberFormat="1" applyFont="1" applyFill="1" applyBorder="1" applyAlignment="1">
      <x:alignment horizontal="center" vertical="center"/>
    </x:xf>
    <x:xf numFmtId="0" fontId="9" fillId="6" borderId="8" xfId="0" applyNumberFormat="1" applyFont="1" applyFill="1" applyBorder="1" applyAlignment="1">
      <x:alignment horizontal="center" vertical="center"/>
    </x:xf>
    <x:xf numFmtId="0" fontId="9" fillId="6" borderId="9" xfId="0" applyNumberFormat="1" applyFont="1" applyFill="1" applyBorder="1" applyAlignment="1">
      <x:alignment horizontal="center" vertical="center"/>
    </x:xf>
    <x:xf numFmtId="0" fontId="9" fillId="6" borderId="0" xfId="0" applyNumberFormat="1" applyFont="1" applyFill="1" applyBorder="1" applyAlignment="1">
      <x:alignment horizontal="center" vertical="center"/>
    </x:xf>
    <x:xf numFmtId="0" fontId="9" fillId="6" borderId="10" xfId="0" applyNumberFormat="1" applyFont="1" applyFill="1" applyBorder="1" applyAlignment="1">
      <x:alignment horizontal="center" vertical="center"/>
    </x:xf>
    <x:xf numFmtId="0" fontId="9" fillId="6" borderId="11" xfId="0" applyNumberFormat="1" applyFont="1" applyFill="1" applyBorder="1" applyAlignment="1">
      <x:alignment horizontal="center" vertical="center"/>
    </x:xf>
    <x:xf numFmtId="0" fontId="9" fillId="6" borderId="1" xfId="0" applyNumberFormat="1" applyFont="1" applyFill="1" applyBorder="1" applyAlignment="1">
      <x:alignment horizontal="center" vertical="center"/>
    </x:xf>
    <x:xf numFmtId="0" fontId="9" fillId="6" borderId="12" xfId="0" applyNumberFormat="1" applyFont="1" applyFill="1" applyBorder="1" applyAlignment="1">
      <x:alignment horizontal="center" vertical="center"/>
    </x:xf>
    <x:xf numFmtId="204" fontId="9" fillId="6" borderId="7" xfId="0" applyNumberFormat="1" applyFont="1" applyFill="1" applyBorder="1" applyAlignment="1">
      <x:alignment horizontal="center" vertical="center"/>
    </x:xf>
    <x:xf numFmtId="205" fontId="9" fillId="6" borderId="7" xfId="0" applyNumberFormat="1" applyFont="1" applyFill="1" applyBorder="1" applyAlignment="1">
      <x:alignment horizontal="center" vertical="center"/>
    </x:xf>
    <x:xf numFmtId="0" fontId="10" fillId="6" borderId="7" xfId="0" applyNumberFormat="1" applyFont="1" applyFill="1" applyBorder="1" applyAlignment="1">
      <x:alignment horizontal="center" vertical="center"/>
    </x:xf>
    <x:xf numFmtId="0" fontId="0" fillId="7" borderId="0" xfId="0" applyNumberFormat="1" applyFont="1" applyFill="1" applyBorder="1"/>
    <x:xf numFmtId="0" fontId="11" fillId="7" borderId="0" xfId="0" applyNumberFormat="1" applyFont="1" applyFill="1" applyBorder="1"/>
    <x:xf numFmtId="0" fontId="11" fillId="7" borderId="16" xfId="0" applyNumberFormat="1" applyFont="1" applyFill="1" applyBorder="1"/>
    <x:xf numFmtId="0" fontId="11" fillId="7" borderId="17" xfId="0" applyNumberFormat="1" applyFont="1" applyFill="1" applyBorder="1"/>
    <x:xf numFmtId="0" fontId="11" fillId="7" borderId="18" xfId="0" applyNumberFormat="1" applyFont="1" applyFill="1" applyBorder="1"/>
    <x:xf numFmtId="0" fontId="11" fillId="7" borderId="19" xfId="0" applyNumberFormat="1" applyFont="1" applyFill="1" applyBorder="1"/>
    <x:xf numFmtId="0" fontId="11" fillId="7" borderId="20" xfId="0" applyNumberFormat="1" applyFont="1" applyFill="1" applyBorder="1"/>
    <x:xf numFmtId="0" fontId="11" fillId="7" borderId="21" xfId="0" applyNumberFormat="1" applyFont="1" applyFill="1" applyBorder="1"/>
    <x:xf numFmtId="0" fontId="11" fillId="7" borderId="16" xfId="0" applyNumberFormat="1" applyFont="1" applyFill="1" applyBorder="1" applyAlignment="1">
      <x:alignment wrapText="1"/>
    </x:xf>
    <x:xf numFmtId="0" fontId="11" fillId="7" borderId="17" xfId="0" applyNumberFormat="1" applyFont="1" applyFill="1" applyBorder="1" applyAlignment="1">
      <x:alignment wrapText="1"/>
    </x:xf>
    <x:xf numFmtId="0" fontId="11" fillId="7" borderId="18" xfId="0" applyNumberFormat="1" applyFont="1" applyFill="1" applyBorder="1" applyAlignment="1">
      <x:alignment wrapText="1"/>
    </x:xf>
    <x:xf numFmtId="0" fontId="11" fillId="7" borderId="19" xfId="0" applyNumberFormat="1" applyFont="1" applyFill="1" applyBorder="1" applyAlignment="1">
      <x:alignment wrapText="1"/>
    </x:xf>
    <x:xf numFmtId="0" fontId="11" fillId="7" borderId="20" xfId="0" applyNumberFormat="1" applyFont="1" applyFill="1" applyBorder="1" applyAlignment="1">
      <x:alignment wrapText="1"/>
    </x:xf>
    <x:xf numFmtId="0" fontId="11" fillId="7" borderId="21" xfId="0" applyNumberFormat="1" applyFont="1" applyFill="1" applyBorder="1" applyAlignment="1">
      <x:alignment wrapText="1"/>
    </x:xf>
    <x:xf numFmtId="0" fontId="11" fillId="7" borderId="16" xfId="0" applyNumberFormat="1" applyFont="1" applyFill="1" applyBorder="1" applyAlignment="1">
      <x:alignment vertical="center" wrapText="1"/>
    </x:xf>
    <x:xf numFmtId="0" fontId="11" fillId="7" borderId="17" xfId="0" applyNumberFormat="1" applyFont="1" applyFill="1" applyBorder="1" applyAlignment="1">
      <x:alignment vertical="center" wrapText="1"/>
    </x:xf>
    <x:xf numFmtId="0" fontId="11" fillId="7" borderId="18" xfId="0" applyNumberFormat="1" applyFont="1" applyFill="1" applyBorder="1" applyAlignment="1">
      <x:alignment vertical="center" wrapText="1"/>
    </x:xf>
    <x:xf numFmtId="0" fontId="11" fillId="7" borderId="19" xfId="0" applyNumberFormat="1" applyFont="1" applyFill="1" applyBorder="1" applyAlignment="1">
      <x:alignment vertical="center" wrapText="1"/>
    </x:xf>
    <x:xf numFmtId="0" fontId="11" fillId="7" borderId="20" xfId="0" applyNumberFormat="1" applyFont="1" applyFill="1" applyBorder="1" applyAlignment="1">
      <x:alignment vertical="center" wrapText="1"/>
    </x:xf>
    <x:xf numFmtId="0" fontId="11" fillId="7" borderId="21" xfId="0" applyNumberFormat="1" applyFont="1" applyFill="1" applyBorder="1" applyAlignment="1">
      <x:alignment vertical="center" wrapText="1"/>
    </x:xf>
    <x:xf numFmtId="0" fontId="8" fillId="0" borderId="1" xfId="0" applyNumberFormat="1" applyFont="1" applyFill="1" applyBorder="1" applyAlignment="1">
      <x:alignment vertical="top"/>
    </x:xf>
    <x:xf numFmtId="0" fontId="8" fillId="0" borderId="2" xfId="0" applyNumberFormat="1" applyFont="1" applyFill="1" applyBorder="1" applyAlignment="1">
      <x:alignment vertical="top"/>
    </x:xf>
    <x:xf numFmtId="0" fontId="8" fillId="0" borderId="3" xfId="0" applyNumberFormat="1" applyFont="1" applyFill="1" applyBorder="1" applyAlignment="1">
      <x:alignment vertical="top"/>
    </x:xf>
    <x:xf numFmtId="0" fontId="1" fillId="2"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4" fillId="3" borderId="5" xfId="0" applyNumberFormat="1" applyFont="1" applyFill="1" applyBorder="1" applyAlignment="1">
      <x:alignment vertical="top" wrapText="1"/>
    </x:xf>
    <x:xf numFmtId="0" fontId="4" fillId="3" borderId="2" xfId="0" applyNumberFormat="1" applyFont="1" applyFill="1" applyBorder="1" applyAlignment="1">
      <x:alignment vertical="top" wrapText="1"/>
    </x:xf>
    <x:xf numFmtId="0" fontId="4" fillId="3" borderId="6" xfId="0" applyNumberFormat="1" applyFont="1" applyFill="1" applyBorder="1" applyAlignment="1">
      <x:alignment vertical="top" wrapText="1"/>
    </x:xf>
    <x:xf numFmtId="204" fontId="9" fillId="6" borderId="7" xfId="0" applyNumberFormat="1" applyFont="1" applyFill="1" applyBorder="1" applyAlignment="1">
      <x:alignment horizontal="center" vertical="top"/>
    </x:xf>
    <x:xf numFmtId="0" fontId="9" fillId="6" borderId="3" xfId="0" applyNumberFormat="1" applyFont="1" applyFill="1" applyBorder="1" applyAlignment="1">
      <x:alignment horizontal="center" vertical="top"/>
    </x:xf>
    <x:xf numFmtId="0" fontId="9" fillId="6" borderId="8" xfId="0" applyNumberFormat="1" applyFont="1" applyFill="1" applyBorder="1" applyAlignment="1">
      <x:alignment horizontal="center" vertical="top"/>
    </x:xf>
    <x:xf numFmtId="205" fontId="9" fillId="6" borderId="7" xfId="0" applyNumberFormat="1" applyFont="1" applyFill="1" applyBorder="1" applyAlignment="1">
      <x:alignment horizontal="center" vertical="top"/>
    </x:xf>
    <x:xf numFmtId="0" fontId="9" fillId="6" borderId="7" xfId="0" applyNumberFormat="1" applyFont="1" applyFill="1" applyBorder="1" applyAlignment="1">
      <x:alignment horizontal="center" vertical="top"/>
    </x:xf>
    <x:xf numFmtId="0" fontId="10" fillId="6" borderId="7" xfId="0" applyNumberFormat="1" applyFont="1" applyFill="1" applyBorder="1" applyAlignment="1">
      <x:alignment horizontal="center" vertical="top"/>
    </x:xf>
    <x:xf numFmtId="0" fontId="9" fillId="6" borderId="9" xfId="0" applyNumberFormat="1" applyFont="1" applyFill="1" applyBorder="1" applyAlignment="1">
      <x:alignment horizontal="center" vertical="top"/>
    </x:xf>
    <x:xf numFmtId="0" fontId="9" fillId="6" borderId="0" xfId="0" applyNumberFormat="1" applyFont="1" applyFill="1" applyBorder="1" applyAlignment="1">
      <x:alignment horizontal="center" vertical="top"/>
    </x:xf>
    <x:xf numFmtId="0" fontId="9" fillId="6" borderId="10" xfId="0" applyNumberFormat="1" applyFont="1" applyFill="1" applyBorder="1" applyAlignment="1">
      <x:alignment horizontal="center" vertical="top"/>
    </x:xf>
    <x:xf numFmtId="0" fontId="9" fillId="6" borderId="11" xfId="0" applyNumberFormat="1" applyFont="1" applyFill="1" applyBorder="1" applyAlignment="1">
      <x:alignment horizontal="center" vertical="top"/>
    </x:xf>
    <x:xf numFmtId="0" fontId="9" fillId="6" borderId="1" xfId="0" applyNumberFormat="1" applyFont="1" applyFill="1" applyBorder="1" applyAlignment="1">
      <x:alignment horizontal="center" vertical="top"/>
    </x:xf>
    <x:xf numFmtId="0" fontId="9" fillId="6" borderId="12" xfId="0" applyNumberFormat="1" applyFont="1" applyFill="1" applyBorder="1" applyAlignment="1">
      <x:alignment horizontal="center" vertical="top"/>
    </x:xf>
    <x:xf numFmtId="0" fontId="11" fillId="7" borderId="16" xfId="0" applyNumberFormat="1" applyFont="1" applyFill="1" applyBorder="1" applyAlignment="1">
      <x:alignment vertical="top" wrapText="1"/>
    </x:xf>
    <x:xf numFmtId="0" fontId="11" fillId="7" borderId="17" xfId="0" applyNumberFormat="1" applyFont="1" applyFill="1" applyBorder="1" applyAlignment="1">
      <x:alignment vertical="top" wrapText="1"/>
    </x:xf>
    <x:xf numFmtId="0" fontId="11" fillId="7" borderId="18" xfId="0" applyNumberFormat="1" applyFont="1" applyFill="1" applyBorder="1" applyAlignment="1">
      <x:alignment vertical="top" wrapText="1"/>
    </x:xf>
    <x:xf numFmtId="0" fontId="11" fillId="7" borderId="19" xfId="0" applyNumberFormat="1" applyFont="1" applyFill="1" applyBorder="1" applyAlignment="1">
      <x:alignment vertical="top" wrapText="1"/>
    </x:xf>
    <x:xf numFmtId="0" fontId="11" fillId="7" borderId="20" xfId="0" applyNumberFormat="1" applyFont="1" applyFill="1" applyBorder="1" applyAlignment="1">
      <x:alignment vertical="top" wrapText="1"/>
    </x:xf>
    <x:xf numFmtId="0" fontId="11" fillId="7" borderId="21" xfId="0" applyNumberFormat="1" applyFont="1" applyFill="1" applyBorder="1" applyAlignment="1">
      <x:alignment vertical="top" wrapText="1"/>
    </x:xf>
    <x:xf numFmtId="0" fontId="6" fillId="5" borderId="5" xfId="0" applyNumberFormat="1" applyFont="1" applyFill="1" applyBorder="1" applyAlignment="1">
      <x:alignment vertical="top" wrapText="1"/>
    </x:xf>
    <x:xf numFmtId="0" fontId="6" fillId="5" borderId="2" xfId="0" applyNumberFormat="1" applyFont="1" applyFill="1" applyBorder="1" applyAlignment="1">
      <x:alignment vertical="top" wrapText="1"/>
    </x:xf>
    <x:xf numFmtId="0" fontId="6" fillId="5" borderId="6" xfId="0" applyNumberFormat="1" applyFont="1" applyFill="1" applyBorder="1" applyAlignment="1">
      <x:alignment vertical="top" wrapText="1"/>
    </x:xf>
    <x:xf numFmtId="0" fontId="5" fillId="4" borderId="7" xfId="0" applyNumberFormat="1" applyFont="1" applyFill="1" applyBorder="1" applyAlignment="1">
      <x:alignment vertical="top" wrapText="1"/>
    </x:xf>
    <x:xf numFmtId="0" fontId="5" fillId="4" borderId="3" xfId="0" applyNumberFormat="1" applyFont="1" applyFill="1" applyBorder="1" applyAlignment="1">
      <x:alignment vertical="top" wrapText="1"/>
    </x:xf>
    <x:xf numFmtId="0" fontId="5" fillId="4" borderId="8" xfId="0" applyNumberFormat="1" applyFont="1" applyFill="1" applyBorder="1" applyAlignment="1">
      <x:alignment vertical="top" wrapText="1"/>
    </x:xf>
    <x:xf numFmtId="0" fontId="5" fillId="4" borderId="9"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5" fillId="4" borderId="10" xfId="0" applyNumberFormat="1" applyFont="1" applyFill="1" applyBorder="1" applyAlignment="1">
      <x:alignment vertical="top" wrapText="1"/>
    </x:xf>
    <x:xf numFmtId="0" fontId="5" fillId="4" borderId="11" xfId="0" applyNumberFormat="1" applyFont="1" applyFill="1" applyBorder="1" applyAlignment="1">
      <x:alignment vertical="top" wrapText="1"/>
    </x:xf>
    <x:xf numFmtId="0" fontId="5" fillId="4" borderId="1" xfId="0" applyNumberFormat="1" applyFont="1" applyFill="1" applyBorder="1" applyAlignment="1">
      <x:alignment vertical="top" wrapText="1"/>
    </x:xf>
    <x:xf numFmtId="0" fontId="5" fillId="4" borderId="12" xfId="0" applyNumberFormat="1" applyFont="1" applyFill="1" applyBorder="1" applyAlignment="1">
      <x:alignment vertical="top" wrapText="1"/>
    </x:xf>
    <x:xf numFmtId="0" fontId="4" fillId="3" borderId="13" xfId="0" applyNumberFormat="1" applyFont="1" applyFill="1" applyBorder="1" applyAlignment="1">
      <x:alignment vertical="top" wrapText="1"/>
    </x:xf>
    <x:xf numFmtId="0" fontId="4" fillId="3" borderId="14" xfId="0" applyNumberFormat="1" applyFont="1" applyFill="1" applyBorder="1" applyAlignment="1">
      <x:alignment vertical="top" wrapText="1"/>
    </x:xf>
    <x:xf numFmtId="0" fontId="4" fillId="3" borderId="15" xfId="0" applyNumberFormat="1" applyFont="1" applyFill="1" applyBorder="1" applyAlignment="1">
      <x:alignment vertical="top" wrapText="1"/>
    </x:xf>
    <x:xf numFmtId="201" fontId="4" fillId="3" borderId="2" xfId="0" applyNumberFormat="1" applyFont="1" applyFill="1" applyBorder="1" applyAlignment="1">
      <x:alignment vertical="top" wrapText="1"/>
    </x:xf>
    <x:xf numFmtId="0" fontId="6" fillId="5" borderId="4" xfId="0" applyNumberFormat="1" applyFont="1" applyFill="1" applyBorder="1" applyAlignment="1">
      <x:alignment vertical="top" wrapText="1"/>
    </x:xf>
  </x:cellXfs>
  <x:cellStyles count="1">
    <x:cellStyle name="Normal" xfId="0"/>
  </x:cellStyles>
  <x:dxfs count="21">
    <x:dxf>
      <x:font>
        <x:b/>
        <x:color rgb="FF2E6B48"/>
      </x:font>
      <x:fill>
        <x:patternFill patternType="solid">
          <x:bgColor rgb="FFE6F2EA"/>
        </x:patternFill>
      </x:fill>
    </x:dxf>
    <x:dxf>
      <x:font>
        <x:b/>
        <x:color rgb="FFB94A48"/>
      </x:font>
      <x:fill>
        <x:patternFill patternType="solid">
          <x:bgColor rgb="FFF8E8E7"/>
        </x:patternFill>
      </x:fill>
    </x:dxf>
    <x:dxf>
      <x:font>
        <x:b/>
        <x:color rgb="FF2E6B48"/>
      </x:font>
      <x:fill>
        <x:patternFill patternType="solid">
          <x:bgColor rgb="FFE6F2EA"/>
        </x:patternFill>
      </x:fill>
    </x:dxf>
    <x:dxf>
      <x:font>
        <x:b/>
        <x:color rgb="FFB94A48"/>
      </x:font>
      <x:fill>
        <x:patternFill patternType="solid">
          <x:bgColor rgb="FFF8E8E7"/>
        </x:patternFill>
      </x:fill>
    </x:dxf>
    <x:dxf>
      <x:font>
        <x:b/>
        <x:color rgb="FFB94A48"/>
      </x:font>
      <x:fill>
        <x:patternFill patternType="solid">
          <x:bgColor rgb="FFF8E8E7"/>
        </x:patternFill>
      </x:fill>
    </x:dxf>
    <x:dxf>
      <x:font>
        <x:b/>
        <x:color rgb="FF2E6B48"/>
      </x:font>
      <x:fill>
        <x:patternFill patternType="solid">
          <x:bgColor rgb="FFE6F2EA"/>
        </x:patternFill>
      </x:fill>
    </x:dxf>
    <x:dxf>
      <x:font>
        <x:b/>
        <x:color rgb="FF2E6B48"/>
      </x:font>
      <x:fill>
        <x:patternFill patternType="solid">
          <x:bgColor rgb="FFE6F2EA"/>
        </x:patternFill>
      </x:fill>
    </x:dxf>
    <x:dxf>
      <x:font>
        <x:b/>
        <x:color rgb="FFB94A48"/>
      </x:font>
      <x:fill>
        <x:patternFill patternType="solid">
          <x:bgColor rgb="FFF8E8E7"/>
        </x:patternFill>
      </x:fill>
    </x:dxf>
    <x:dxf>
      <x:font>
        <x:b/>
        <x:color rgb="FF6B7780"/>
      </x:font>
      <x:fill>
        <x:patternFill patternType="solid">
          <x:bgColor rgb="FFEEF3F6"/>
        </x:patternFill>
      </x:fill>
    </x:dxf>
    <x:dxf>
      <x:font>
        <x:b/>
        <x:color rgb="FF2E6B48"/>
      </x:font>
      <x:fill>
        <x:patternFill patternType="solid">
          <x:bgColor rgb="FFE6F2EA"/>
        </x:patternFill>
      </x:fill>
    </x:dxf>
    <x:dxf>
      <x:font>
        <x:b/>
        <x:color rgb="FF2E6B48"/>
      </x:font>
      <x:fill>
        <x:patternFill patternType="solid">
          <x:bgColor rgb="FFE6F2EA"/>
        </x:patternFill>
      </x:fill>
    </x:dxf>
    <x:dxf>
      <x:font>
        <x:b/>
        <x:color rgb="FFB94A48"/>
      </x:font>
      <x:fill>
        <x:patternFill patternType="solid">
          <x:bgColor rgb="FFF8E8E7"/>
        </x:patternFill>
      </x:fill>
    </x:dxf>
    <x:dxf>
      <x:font>
        <x:b/>
        <x:color rgb="FFC44A5C"/>
      </x:font>
      <x:fill>
        <x:patternFill patternType="solid">
          <x:bgColor rgb="FFF3D9DE"/>
        </x:patternFill>
      </x:fill>
    </x:dxf>
    <x:dxf>
      <x:font>
        <x:b/>
        <x:color rgb="FF315F9A"/>
      </x:font>
      <x:fill>
        <x:patternFill patternType="solid">
          <x:bgColor rgb="FFDFE8F2"/>
        </x:patternFill>
      </x:fill>
    </x:dxf>
    <x:dxf>
      <x:font>
        <x:b/>
        <x:color rgb="FF4F8A4C"/>
      </x:font>
      <x:fill>
        <x:patternFill patternType="solid">
          <x:bgColor rgb="FFE6F2EA"/>
        </x:patternFill>
      </x:fill>
    </x:dxf>
    <x:dxf>
      <x:font>
        <x:b/>
        <x:color rgb="FF2E6B48"/>
      </x:font>
      <x:fill>
        <x:patternFill patternType="solid">
          <x:bgColor rgb="FFE6F2EA"/>
        </x:patternFill>
      </x:fill>
    </x:dxf>
    <x:dxf>
      <x:font>
        <x:b/>
        <x:color rgb="FFB94A48"/>
      </x:font>
      <x:fill>
        <x:patternFill patternType="solid">
          <x:bgColor rgb="FFF8E8E7"/>
        </x:patternFill>
      </x:fill>
    </x:dxf>
    <x:dxf>
      <x:font>
        <x:b/>
        <x:color rgb="FF2E6B48"/>
      </x:font>
      <x:fill>
        <x:patternFill patternType="solid">
          <x:bgColor rgb="FFE6F2EA"/>
        </x:patternFill>
      </x:fill>
    </x:dxf>
    <x:dxf>
      <x:font>
        <x:b/>
        <x:color rgb="FFB94A48"/>
      </x:font>
      <x:fill>
        <x:patternFill patternType="solid">
          <x:bgColor rgb="FFF8E8E7"/>
        </x:patternFill>
      </x:fill>
    </x:dxf>
    <x:dxf>
      <x:font>
        <x:b/>
        <x:color rgb="FF2E6B48"/>
      </x:font>
      <x:fill>
        <x:patternFill patternType="solid">
          <x:bgColor rgb="FFE6F2EA"/>
        </x:patternFill>
      </x:fill>
    </x:dxf>
    <x:dxf>
      <x:font>
        <x:b/>
        <x:color rgb="FFB94A48"/>
      </x:font>
      <x:fill>
        <x:patternFill patternType="solid">
          <x:bgColor rgb="FFF8E8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89140d5dfea4530" /><Relationship Type="http://schemas.openxmlformats.org/officeDocument/2006/relationships/theme" Target="/xl/theme/theme1.xml" Id="Rfde391234874441b" /><Relationship Type="http://schemas.microsoft.com/office/2022/11/relationships/FeaturePropertyBag" Target="/xl/featurePropertyBag/featurePropertyBag.xml" Id="Rf46c99b738d3415e" /><Relationship Type="http://schemas.openxmlformats.org/officeDocument/2006/relationships/sharedStrings" Target="/xl/sharedStrings.xml" Id="R770c70e02eaf4ae8" /><Relationship Type="http://schemas.openxmlformats.org/officeDocument/2006/relationships/worksheet" Target="/xl/worksheets/sheet1.xml" Id="R3710a9e67a2e4163" /><Relationship Type="http://schemas.openxmlformats.org/officeDocument/2006/relationships/worksheet" Target="/xl/worksheets/sheet2.xml" Id="Re2231bf4f5974b64" /><Relationship Type="http://schemas.openxmlformats.org/officeDocument/2006/relationships/worksheet" Target="/xl/worksheets/sheet3.xml" Id="R20b5f637c25249e0" /><Relationship Type="http://schemas.openxmlformats.org/officeDocument/2006/relationships/worksheet" Target="/xl/worksheets/sheet4.xml" Id="Rca55651199174663" /><Relationship Type="http://schemas.openxmlformats.org/officeDocument/2006/relationships/worksheet" Target="/xl/worksheets/sheet5.xml" Id="Rc8eec0623df445f3" /><Relationship Type="http://schemas.openxmlformats.org/officeDocument/2006/relationships/worksheet" Target="/xl/worksheets/sheet6.xml" Id="Rb6bfdf97b7b84436" /><Relationship Type="http://schemas.openxmlformats.org/officeDocument/2006/relationships/worksheet" Target="/xl/worksheets/sheet7.xml" Id="Red467ff5af2b4290" /><Relationship Type="http://schemas.openxmlformats.org/officeDocument/2006/relationships/worksheet" Target="/xl/worksheets/sheet8.xml" Id="Rbc0003a406844040" /><Relationship Type="http://schemas.openxmlformats.org/officeDocument/2006/relationships/worksheet" Target="/xl/worksheets/sheet9.xml" Id="Rc14288c5b4b04d34" /><Relationship Type="http://schemas.openxmlformats.org/officeDocument/2006/relationships/worksheet" Target="/xl/worksheets/sheet10.xml" Id="Ra35ac6d8f8ed43d7" /><Relationship Type="http://schemas.openxmlformats.org/officeDocument/2006/relationships/worksheet" Target="/xl/worksheets/sheet11.xml" Id="Rf7d0c87b92d9488a" /><Relationship Type="http://schemas.openxmlformats.org/officeDocument/2006/relationships/worksheet" Target="/xl/worksheets/sheet12.xml" Id="Re19f225ecdde401f" /><Relationship Type="http://schemas.openxmlformats.org/officeDocument/2006/relationships/worksheet" Target="/xl/worksheets/sheet13.xml" Id="R6cd684aa3e6a473f" /><Relationship Type="http://schemas.openxmlformats.org/officeDocument/2006/relationships/worksheet" Target="/xl/worksheets/sheet14.xml" Id="R6ce67259e14f491b" /><Relationship Type="http://schemas.openxmlformats.org/officeDocument/2006/relationships/worksheet" Target="/xl/worksheets/sheet15.xml" Id="Rac5c4fdc1f3e4cf1" /><Relationship Type="http://schemas.openxmlformats.org/officeDocument/2006/relationships/worksheet" Target="/xl/worksheets/sheet16.xml" Id="R1301eaab6ae745c9" /><Relationship Type="http://schemas.openxmlformats.org/officeDocument/2006/relationships/worksheet" Target="/xl/worksheets/sheet17.xml" Id="R96fa4e08206e45ec" /><Relationship Type="http://schemas.openxmlformats.org/officeDocument/2006/relationships/worksheet" Target="/xl/worksheets/sheet18.xml" Id="Rd6491d7e80044378" /><Relationship Type="http://schemas.openxmlformats.org/officeDocument/2006/relationships/worksheet" Target="/xl/worksheets/sheet19.xml" Id="Ra8783dd45f404abf" /><Relationship Type="http://schemas.openxmlformats.org/officeDocument/2006/relationships/worksheet" Target="/xl/worksheets/sheet20.xml" Id="Ra6caa44a7e1948ed" /></Relationships>
</file>

<file path=xl/drawings/_rels/drawing1.xml.rels>&#65279;<?xml version="1.0" encoding="utf-8"?><Relationships xmlns="http://schemas.openxmlformats.org/package/2006/relationships"><Relationship Type="http://schemas.openxmlformats.org/officeDocument/2006/relationships/chart" Target="/xl/drawings/charts/chart1.xml" Id="Rc0626fc69c3641dc" /><Relationship Type="http://schemas.openxmlformats.org/officeDocument/2006/relationships/chart" Target="/xl/drawings/charts/chart2.xml" Id="R525bb020da784bf0" /></Relationships>
</file>

<file path=xl/drawings/_rels/drawing2.xml.rels>&#65279;<?xml version="1.0" encoding="utf-8"?><Relationships xmlns="http://schemas.openxmlformats.org/package/2006/relationships"><Relationship Type="http://schemas.openxmlformats.org/officeDocument/2006/relationships/chart" Target="/xl/drawings/charts/chart3.xml" Id="R627b4bf7228a4ad4" /></Relationships>
</file>

<file path=xl/drawings/_rels/drawing3.xml.rels>&#65279;<?xml version="1.0" encoding="utf-8"?><Relationships xmlns="http://schemas.openxmlformats.org/package/2006/relationships"><Relationship Type="http://schemas.openxmlformats.org/officeDocument/2006/relationships/chart" Target="/xl/drawings/charts/chart4.xml" Id="R3f0755013509413c" /></Relationships>
</file>

<file path=xl/drawings/_rels/drawing4.xml.rels>&#65279;<?xml version="1.0" encoding="utf-8"?><Relationships xmlns="http://schemas.openxmlformats.org/package/2006/relationships"><Relationship Type="http://schemas.openxmlformats.org/officeDocument/2006/relationships/chart" Target="/xl/drawings/charts/chart5.xml" Id="R4156ddeda6a2401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Current recency-weighted benchmark</a:t>
            </a:r>
          </a:p>
        </c:rich>
      </c:tx>
      <c:overlay val="0"/>
    </c:title>
    <c:plotArea>
      <c:barChart>
        <c:barDir val="col"/>
        <c:varyColors val="0"/>
        <c:ser>
          <c:idx val="0"/>
          <c:order val="0"/>
          <c:tx>
            <c:v>Support</c:v>
          </c:tx>
          <c:spPr>
            <a:solidFill xmlns:a="http://schemas.openxmlformats.org/drawingml/2006/main">
              <a:srgbClr val="3E7CA6"/>
            </a:solidFill>
          </c:spPr>
          <c:cat>
            <c:strRef>
              <c:f>'Riding Model'!$B$60:$D$60</c:f>
              <c:strCache>
                <c:ptCount val="0"/>
              </c:strCache>
            </c:strRef>
          </c:cat>
          <c:val>
            <c:numRef>
              <c:f>'Current Polls'!$D$11:$F$11</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ax val="50"/>
          <c:min val="0"/>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Current deterministic seats</a:t>
            </a:r>
          </a:p>
        </c:rich>
      </c:tx>
      <c:overlay val="0"/>
    </c:title>
    <c:plotArea>
      <c:barChart>
        <c:barDir val="col"/>
        <c:varyColors val="0"/>
        <c:ser>
          <c:idx val="0"/>
          <c:order val="0"/>
          <c:tx>
            <c:v>Seats</c:v>
          </c:tx>
          <c:spPr>
            <a:solidFill xmlns:a="http://schemas.openxmlformats.org/drawingml/2006/main">
              <a:srgbClr val="3C8D8A"/>
            </a:solidFill>
          </c:spPr>
          <c:cat>
            <c:strRef>
              <c:f>'Riding Model'!$B$60:$D$60</c:f>
              <c:strCache>
                <c:ptCount val="0"/>
              </c:strCache>
            </c:strRef>
          </c:cat>
          <c:val>
            <c:numRef>
              <c:f>'Riding Model'!$B$61:$D$61</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ax val="35"/>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Published or derived vote intention</a:t>
            </a:r>
          </a:p>
        </c:rich>
      </c:tx>
      <c:overlay val="0"/>
    </c:title>
    <c:plotArea>
      <c:lineChart>
        <c:grouping val="standard"/>
        <c:varyColors val="0"/>
        <c:ser>
          <c:idx val="0"/>
          <c:order val="0"/>
          <c:tx>
            <c:v>Liberal</c:v>
          </c:tx>
          <c:spPr>
            <a:solidFill xmlns:a="http://schemas.openxmlformats.org/drawingml/2006/main">
              <a:srgbClr val="C44A5C"/>
            </a:solidFill>
          </c:spPr>
          <c:marker>
            <c:symbol val="none"/>
          </c:marker>
          <c:cat>
            <c:strRef>
              <c:f>'Current Polls'!$C$5:$C$10</c:f>
              <c:strCache>
                <c:ptCount val="0"/>
              </c:strCache>
            </c:strRef>
          </c:cat>
          <c:val>
            <c:numRef>
              <c:f>'Current Polls'!$D$5:$D$10</c:f>
              <c:numCache>
                <c:formatCode>0.0</c:formatCode>
                <c:ptCount val="0"/>
              </c:numCache>
            </c:numRef>
          </c:val>
          <c:smooth val="0"/>
        </c:ser>
        <c:ser>
          <c:idx val="1"/>
          <c:order val="1"/>
          <c:tx>
            <c:v>PC</c:v>
          </c:tx>
          <c:spPr>
            <a:solidFill xmlns:a="http://schemas.openxmlformats.org/drawingml/2006/main">
              <a:srgbClr val="315F9A"/>
            </a:solidFill>
          </c:spPr>
          <c:marker>
            <c:symbol val="none"/>
          </c:marker>
          <c:cat>
            <c:strRef>
              <c:f>'Current Polls'!$C$5:$C$10</c:f>
              <c:strCache>
                <c:ptCount val="0"/>
              </c:strCache>
            </c:strRef>
          </c:cat>
          <c:val>
            <c:numRef>
              <c:f>'Current Polls'!$E$5:$E$10</c:f>
              <c:numCache>
                <c:formatCode>0.0</c:formatCode>
                <c:ptCount val="0"/>
              </c:numCache>
            </c:numRef>
          </c:val>
          <c:smooth val="0"/>
        </c:ser>
        <c:ser>
          <c:idx val="2"/>
          <c:order val="2"/>
          <c:tx>
            <c:v>Green</c:v>
          </c:tx>
          <c:spPr>
            <a:solidFill xmlns:a="http://schemas.openxmlformats.org/drawingml/2006/main">
              <a:srgbClr val="4F8A4C"/>
            </a:solidFill>
          </c:spPr>
          <c:marker>
            <c:symbol val="none"/>
          </c:marker>
          <c:cat>
            <c:strRef>
              <c:f>'Current Polls'!$C$5:$C$10</c:f>
              <c:strCache>
                <c:ptCount val="0"/>
              </c:strCache>
            </c:strRef>
          </c:cat>
          <c:val>
            <c:numRef>
              <c:f>'Current Polls'!$F$5:$F$10</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ax val="60"/>
          <c:min val="0"/>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Day-674 margin and next-election margin</a:t>
            </a:r>
          </a:p>
        </c:rich>
      </c:tx>
      <c:overlay val="0"/>
    </c:title>
    <c:plotArea>
      <c:barChart>
        <c:barDir val="col"/>
        <c:varyColors val="0"/>
        <c:ser>
          <c:idx val="0"/>
          <c:order val="0"/>
          <c:tx>
            <c:v>Day 674</c:v>
          </c:tx>
          <c:spPr>
            <a:solidFill xmlns:a="http://schemas.openxmlformats.org/drawingml/2006/main">
              <a:srgbClr val="3E7CA6"/>
            </a:solidFill>
          </c:spPr>
          <c:cat>
            <c:strRef>
              <c:f>'Historical'!$A$5:$A$9</c:f>
              <c:strCache>
                <c:ptCount val="0"/>
              </c:strCache>
            </c:strRef>
          </c:cat>
          <c:val>
            <c:numRef>
              <c:f>'Historical'!$C$5:$C$9</c:f>
              <c:numCache>
                <c:formatCode>0.0</c:formatCode>
                <c:ptCount val="0"/>
              </c:numCache>
            </c:numRef>
          </c:val>
        </c:ser>
        <c:ser>
          <c:idx val="1"/>
          <c:order val="1"/>
          <c:tx>
            <c:v>Next election</c:v>
          </c:tx>
          <c:spPr>
            <a:solidFill xmlns:a="http://schemas.openxmlformats.org/drawingml/2006/main">
              <a:srgbClr val="B94A48"/>
            </a:solidFill>
          </c:spPr>
          <c:cat>
            <c:strRef>
              <c:f>'Historical'!$A$5:$A$9</c:f>
              <c:strCache>
                <c:ptCount val="0"/>
              </c:strCache>
            </c:strRef>
          </c:cat>
          <c:val>
            <c:numRef>
              <c:f>'Historical'!$D$5:$D$9</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Adverse L-PC margin erosion at riding flip</a:t>
            </a:r>
          </a:p>
        </c:rich>
      </c:tx>
      <c:overlay val="0"/>
    </c:title>
    <c:plotArea>
      <c:barChart>
        <c:barDir val="col"/>
        <c:varyColors val="0"/>
        <c:ser>
          <c:idx val="0"/>
          <c:order val="0"/>
          <c:tx>
            <c:v>Erosion</c:v>
          </c:tx>
          <c:spPr>
            <a:solidFill xmlns:a="http://schemas.openxmlformats.org/drawingml/2006/main">
              <a:srgbClr val="315F9A"/>
            </a:solidFill>
          </c:spPr>
          <c:cat>
            <c:strRef>
              <c:f>'Firewall'!$B$11:$B$20</c:f>
              <c:strCache>
                <c:ptCount val="0"/>
              </c:strCache>
            </c:strRef>
          </c:cat>
          <c:val>
            <c:numRef>
              <c:f>'Firewall'!$C$11:$C$20</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11</xdr:row>
      <xdr:rowOff>0</xdr:rowOff>
    </xdr:from>
    <xdr:to>
      <xdr:col>14</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0626fc69c3641dc"/>
        </a:graphicData>
      </a:graphic>
    </xdr:graphicFrame>
    <xdr:clientData/>
  </xdr:twoCellAnchor>
  <xdr:twoCellAnchor>
    <xdr:from>
      <xdr:col>0</xdr:col>
      <xdr:colOff>0</xdr:colOff>
      <xdr:row>20</xdr:row>
      <xdr:rowOff>0</xdr:rowOff>
    </xdr:from>
    <xdr:to>
      <xdr:col>7</xdr:col>
      <xdr:colOff>0</xdr:colOff>
      <xdr:row>34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25bb020da784bf0"/>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13</xdr:row>
      <xdr:rowOff>0</xdr:rowOff>
    </xdr:from>
    <xdr:to>
      <xdr:col>8</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27b4bf7228a4ad4"/>
        </a:graphicData>
      </a:graphic>
    </xdr:graphicFrame>
    <xdr:clientData/>
  </xdr:twoCellAnchor>
</xdr:wsDr>
</file>

<file path=xl/drawings/drawing3.xml><?xml version="1.0" encoding="utf-8"?>
<xdr:wsDr xmlns:xdr="http://schemas.openxmlformats.org/drawingml/2006/spreadsheetDrawing">
  <xdr:twoCellAnchor>
    <xdr:from>
      <xdr:col>0</xdr:col>
      <xdr:colOff>0</xdr:colOff>
      <xdr:row>12</xdr:row>
      <xdr:rowOff>0</xdr:rowOff>
    </xdr:from>
    <xdr:to>
      <xdr:col>8</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f0755013509413c"/>
        </a:graphicData>
      </a:graphic>
    </xdr:graphicFrame>
    <xdr:clientData/>
  </xdr:twoCellAnchor>
</xdr:wsDr>
</file>

<file path=xl/drawings/drawing4.xml><?xml version="1.0" encoding="utf-8"?>
<xdr:wsDr xmlns:xdr="http://schemas.openxmlformats.org/drawingml/2006/spreadsheetDrawing">
  <xdr:twoCellAnchor>
    <xdr:from>
      <xdr:col>7</xdr:col>
      <xdr:colOff>0</xdr:colOff>
      <xdr:row>9</xdr:row>
      <xdr:rowOff>0</xdr:rowOff>
    </xdr:from>
    <xdr:to>
      <xdr:col>15</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156ddeda6a2401f"/>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6540a2dbead42cb" /></Relationships>
</file>

<file path=xl/worksheets/_rels/sheet10.xml.rels>&#65279;<?xml version="1.0" encoding="utf-8"?><Relationships xmlns="http://schemas.openxmlformats.org/package/2006/relationships"><Relationship Type="http://schemas.openxmlformats.org/officeDocument/2006/relationships/drawing" Target="/xl/drawings/drawing2.xml" Id="R42732f91838347e0" /></Relationships>
</file>

<file path=xl/worksheets/_rels/sheet12.xml.rels>&#65279;<?xml version="1.0" encoding="utf-8"?><Relationships xmlns="http://schemas.openxmlformats.org/package/2006/relationships"><Relationship Type="http://schemas.openxmlformats.org/officeDocument/2006/relationships/drawing" Target="/xl/drawings/drawing3.xml" Id="Raf2baa7529f34606" /></Relationships>
</file>

<file path=xl/worksheets/_rels/sheet14.xml.rels>&#65279;<?xml version="1.0" encoding="utf-8"?><Relationships xmlns="http://schemas.openxmlformats.org/package/2006/relationships"><Relationship Type="http://schemas.openxmlformats.org/officeDocument/2006/relationships/drawing" Target="/xl/drawings/drawing4.xml" Id="R03afa0ce7f4e4d88"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s>
  <x:sheetData>
    <x:row r="1" ht="30" customHeight="1">
      <x:c r="A1" s="182" t="str">
        <x:v>Susan Holt mandate-conversion audit | Day 674</x:v>
      </x:c>
      <x:c r="B1" s="182" t="str">
        <x:v>Susan Holt mandate-conversion audit | Day 674</x:v>
      </x:c>
      <x:c r="C1" s="182" t="str">
        <x:v>Susan Holt mandate-conversion audit | Day 674</x:v>
      </x:c>
      <x:c r="D1" s="182" t="str">
        <x:v>Susan Holt mandate-conversion audit | Day 674</x:v>
      </x:c>
      <x:c r="E1" s="182" t="str">
        <x:v>Susan Holt mandate-conversion audit | Day 674</x:v>
      </x:c>
      <x:c r="F1" s="182" t="str">
        <x:v>Susan Holt mandate-conversion audit | Day 674</x:v>
      </x:c>
      <x:c r="G1" s="182" t="str">
        <x:v>Susan Holt mandate-conversion audit | Day 674</x:v>
      </x:c>
      <x:c r="H1" s="182" t="str">
        <x:v>Susan Holt mandate-conversion audit | Day 674</x:v>
      </x:c>
      <x:c r="I1" s="182" t="str">
        <x:v>Susan Holt mandate-conversion audit | Day 674</x:v>
      </x:c>
      <x:c r="J1" s="182" t="str">
        <x:v>Susan Holt mandate-conversion audit | Day 674</x:v>
      </x:c>
      <x:c r="K1" s="182" t="str">
        <x:v>Susan Holt mandate-conversion audit | Day 674</x:v>
      </x:c>
      <x:c r="L1" s="182" t="str">
        <x:v>Susan Holt mandate-conversion audit | Day 674</x:v>
      </x:c>
      <x:c r="M1" s="182" t="str">
        <x:v>Susan Holt mandate-conversion audit | Day 674</x:v>
      </x:c>
      <x:c r="N1" s="182" t="str">
        <x:v>Susan Holt mandate-conversion audit | Day 674</x:v>
      </x:c>
    </x:row>
    <x:row r="2" ht="26" customHeight="1">
      <x:c r="A2" s="183" t="str">
        <x:v>Outcome first: current electoral shelter is real, but delivery-to-outcome and trust conversion is incomplete. A 2028 probability is not estimable.</x:v>
      </x:c>
      <x:c r="B2" s="183" t="str">
        <x:v>Outcome first: current electoral shelter is real, but delivery-to-outcome and trust conversion is incomplete. A 2028 probability is not estimable.</x:v>
      </x:c>
      <x:c r="C2" s="183" t="str">
        <x:v>Outcome first: current electoral shelter is real, but delivery-to-outcome and trust conversion is incomplete. A 2028 probability is not estimable.</x:v>
      </x:c>
      <x:c r="D2" s="183" t="str">
        <x:v>Outcome first: current electoral shelter is real, but delivery-to-outcome and trust conversion is incomplete. A 2028 probability is not estimable.</x:v>
      </x:c>
      <x:c r="E2" s="183" t="str">
        <x:v>Outcome first: current electoral shelter is real, but delivery-to-outcome and trust conversion is incomplete. A 2028 probability is not estimable.</x:v>
      </x:c>
      <x:c r="F2" s="183" t="str">
        <x:v>Outcome first: current electoral shelter is real, but delivery-to-outcome and trust conversion is incomplete. A 2028 probability is not estimable.</x:v>
      </x:c>
      <x:c r="G2" s="183" t="str">
        <x:v>Outcome first: current electoral shelter is real, but delivery-to-outcome and trust conversion is incomplete. A 2028 probability is not estimable.</x:v>
      </x:c>
      <x:c r="H2" s="183" t="str">
        <x:v>Outcome first: current electoral shelter is real, but delivery-to-outcome and trust conversion is incomplete. A 2028 probability is not estimable.</x:v>
      </x:c>
      <x:c r="I2" s="183" t="str">
        <x:v>Outcome first: current electoral shelter is real, but delivery-to-outcome and trust conversion is incomplete. A 2028 probability is not estimable.</x:v>
      </x:c>
      <x:c r="J2" s="183" t="str">
        <x:v>Outcome first: current electoral shelter is real, but delivery-to-outcome and trust conversion is incomplete. A 2028 probability is not estimable.</x:v>
      </x:c>
      <x:c r="K2" s="183" t="str">
        <x:v>Outcome first: current electoral shelter is real, but delivery-to-outcome and trust conversion is incomplete. A 2028 probability is not estimable.</x:v>
      </x:c>
      <x:c r="L2" s="183" t="str">
        <x:v>Outcome first: current electoral shelter is real, but delivery-to-outcome and trust conversion is incomplete. A 2028 probability is not estimable.</x:v>
      </x:c>
      <x:c r="M2" s="183" t="str">
        <x:v>Outcome first: current electoral shelter is real, but delivery-to-outcome and trust conversion is incomplete. A 2028 probability is not estimable.</x:v>
      </x:c>
      <x:c r="N2" s="183" t="str">
        <x:v>Outcome first: current electoral shelter is real, but delivery-to-outcome and trust conversion is incomplete. A 2028 probability is not estimable.</x:v>
      </x:c>
    </x:row>
    <x:row r="3">
      <x:c r="A3" s="184"/>
      <x:c r="B3" s="184"/>
      <x:c r="C3" s="184"/>
      <x:c r="D3" s="184"/>
      <x:c r="E3" s="184"/>
      <x:c r="F3" s="184"/>
      <x:c r="G3" s="184"/>
      <x:c r="H3" s="184"/>
      <x:c r="I3" s="184"/>
      <x:c r="J3" s="184"/>
      <x:c r="K3" s="184"/>
      <x:c r="L3" s="184"/>
      <x:c r="M3" s="184"/>
      <x:c r="N3" s="184"/>
    </x:row>
    <x:row r="4">
      <x:c r="A4" s="185" t="str">
        <x:v>Current L-PC margin</x:v>
      </x:c>
      <x:c r="B4" s="186"/>
      <x:c r="C4" s="187"/>
      <x:c r="D4" s="185" t="str">
        <x:v>Current Liberal</x:v>
      </x:c>
      <x:c r="E4" s="186"/>
      <x:c r="F4" s="187"/>
      <x:c r="G4" s="185" t="str">
        <x:v>Current seats</x:v>
      </x:c>
      <x:c r="H4" s="186"/>
      <x:c r="I4" s="186"/>
      <x:c r="J4" s="187"/>
      <x:c r="K4" s="185" t="str">
        <x:v>2028 probability</x:v>
      </x:c>
      <x:c r="L4" s="186"/>
      <x:c r="M4" s="186"/>
      <x:c r="N4" s="187"/>
    </x:row>
    <x:row r="5">
      <x:c r="A5" s="188" t="n">
        <x:f>'Current Polls'!K11</x:f>
        <x:v>10.189203268608836</x:v>
      </x:c>
      <x:c r="B5" s="189"/>
      <x:c r="C5" s="190"/>
      <x:c r="D5" s="191" t="n">
        <x:f>'Current Polls'!D11</x:f>
        <x:v>43.1541724958968</x:v>
      </x:c>
      <x:c r="E5" s="189"/>
      <x:c r="F5" s="190"/>
      <x:c r="G5" s="192" t="str">
        <x:f>TEXT('Riding Model'!B61,"0")&amp;" L | "&amp;TEXT('Riding Model'!C61,"0")&amp;" PC | "&amp;TEXT('Riding Model'!D61,"0")&amp;" G"</x:f>
        <x:v>30 L | 17 PC | 2 G</x:v>
      </x:c>
      <x:c r="H5" s="189"/>
      <x:c r="I5" s="189"/>
      <x:c r="J5" s="190"/>
      <x:c r="K5" s="193" t="str">
        <x:v>NOT ESTIMABLE</x:v>
      </x:c>
      <x:c r="L5" s="189"/>
      <x:c r="M5" s="189"/>
      <x:c r="N5" s="190"/>
    </x:row>
    <x:row r="6">
      <x:c r="A6" s="194"/>
      <x:c r="B6" s="195"/>
      <x:c r="C6" s="196"/>
      <x:c r="D6" s="194"/>
      <x:c r="E6" s="195"/>
      <x:c r="F6" s="196"/>
      <x:c r="G6" s="194"/>
      <x:c r="H6" s="195"/>
      <x:c r="I6" s="195"/>
      <x:c r="J6" s="196"/>
      <x:c r="K6" s="194"/>
      <x:c r="L6" s="195"/>
      <x:c r="M6" s="195"/>
      <x:c r="N6" s="196"/>
    </x:row>
    <x:row r="7">
      <x:c r="A7" s="197"/>
      <x:c r="B7" s="198"/>
      <x:c r="C7" s="199"/>
      <x:c r="D7" s="197"/>
      <x:c r="E7" s="198"/>
      <x:c r="F7" s="199"/>
      <x:c r="G7" s="197"/>
      <x:c r="H7" s="198"/>
      <x:c r="I7" s="198"/>
      <x:c r="J7" s="199"/>
      <x:c r="K7" s="197"/>
      <x:c r="L7" s="198"/>
      <x:c r="M7" s="198"/>
      <x:c r="N7" s="199"/>
    </x:row>
    <x:row r="8">
      <x:c r="A8" s="184"/>
      <x:c r="B8" s="184"/>
      <x:c r="C8" s="184"/>
      <x:c r="D8" s="184"/>
      <x:c r="E8" s="184"/>
      <x:c r="F8" s="184"/>
      <x:c r="G8" s="184"/>
      <x:c r="H8" s="184"/>
      <x:c r="I8" s="184"/>
      <x:c r="J8" s="184"/>
      <x:c r="K8" s="184"/>
      <x:c r="L8" s="184"/>
      <x:c r="M8" s="184"/>
      <x:c r="N8" s="184"/>
    </x:row>
    <x:row r="9">
      <x:c r="A9" s="200" t="str">
        <x:v>Current state: a real but soft electoral advantage. Policy implementation is substantial; population outcomes are mixed or premature. An implementation-to-public-evaluation gap is observed; credit conversion and weak mandate compression are hypotheses requiring direct tests. Senior civil-service morale is unobserved; administrative health is mixed/amber.</x:v>
      </x:c>
      <x:c r="B9" s="201"/>
      <x:c r="C9" s="201"/>
      <x:c r="D9" s="201"/>
      <x:c r="E9" s="201"/>
      <x:c r="F9" s="201"/>
      <x:c r="G9" s="201"/>
      <x:c r="H9" s="201"/>
      <x:c r="I9" s="201"/>
      <x:c r="J9" s="201"/>
      <x:c r="K9" s="201"/>
      <x:c r="L9" s="201"/>
      <x:c r="M9" s="201"/>
      <x:c r="N9" s="202"/>
    </x:row>
    <x:row r="10">
      <x:c r="A10" s="203"/>
      <x:c r="B10" s="204"/>
      <x:c r="C10" s="204"/>
      <x:c r="D10" s="204"/>
      <x:c r="E10" s="204"/>
      <x:c r="F10" s="204"/>
      <x:c r="G10" s="204"/>
      <x:c r="H10" s="204"/>
      <x:c r="I10" s="204"/>
      <x:c r="J10" s="204"/>
      <x:c r="K10" s="204"/>
      <x:c r="L10" s="204"/>
      <x:c r="M10" s="204"/>
      <x:c r="N10" s="205"/>
    </x:row>
    <x:row r="11">
      <x:c r="A11" s="184"/>
      <x:c r="B11" s="184"/>
      <x:c r="C11" s="184"/>
      <x:c r="D11" s="184"/>
      <x:c r="E11" s="184"/>
      <x:c r="F11" s="184"/>
      <x:c r="G11" s="184"/>
      <x:c r="H11" s="184"/>
      <x:c r="I11" s="184"/>
      <x:c r="J11" s="184"/>
      <x:c r="K11" s="184"/>
      <x:c r="L11" s="184"/>
      <x:c r="M11" s="184"/>
      <x:c r="N11" s="184"/>
    </x:row>
    <x:row r="12" ht="30" customHeight="1">
      <x:c r="A12" s="206" t="str">
        <x:v>Six-domain condition</x:v>
      </x:c>
      <x:c r="B12" s="207" t="str">
        <x:v>Condition</x:v>
      </x:c>
      <x:c r="C12" s="207" t="str">
        <x:v>Confidence</x:v>
      </x:c>
      <x:c r="D12" s="207" t="str">
        <x:v>Earliest weak link</x:v>
      </x:c>
      <x:c r="E12" s="207" t="str"/>
      <x:c r="F12" s="207" t="str"/>
      <x:c r="G12" s="208" t="str"/>
      <x:c r="H12" s="184"/>
      <x:c r="I12" s="184"/>
      <x:c r="J12" s="184"/>
      <x:c r="K12" s="184"/>
      <x:c r="L12" s="184"/>
      <x:c r="M12" s="184"/>
      <x:c r="N12" s="184"/>
    </x:row>
    <x:row r="13">
      <x:c r="A13" s="78" t="str">
        <x:v>Political standing and legitimacy</x:v>
      </x:c>
      <x:c r="B13" s="179" t="str">
        <x:v>Soft electoral advantage</x:v>
      </x:c>
      <x:c r="C13" s="78" t="str">
        <x:v>Moderate</x:v>
      </x:c>
      <x:c r="D13" s="78" t="str">
        <x:v>Trust and performance evaluation</x:v>
      </x:c>
      <x:c r="E13" s="78" t="str"/>
      <x:c r="F13" s="78" t="str"/>
      <x:c r="G13" s="78" t="str"/>
      <x:c r="H13" s="184"/>
      <x:c r="I13" s="184"/>
      <x:c r="J13" s="184"/>
      <x:c r="K13" s="184"/>
      <x:c r="L13" s="184"/>
      <x:c r="M13" s="184"/>
      <x:c r="N13" s="184"/>
    </x:row>
    <x:row r="14">
      <x:c r="A14" s="79" t="str">
        <x:v>Promise and implementation delivery</x:v>
      </x:c>
      <x:c r="B14" s="180" t="str">
        <x:v>Substantial activity; selective proof</x:v>
      </x:c>
      <x:c r="C14" s="79" t="str">
        <x:v>Moderate</x:v>
      </x:c>
      <x:c r="D14" s="79" t="str">
        <x:v>Operational scale and result verification</x:v>
      </x:c>
      <x:c r="E14" s="79" t="str"/>
      <x:c r="F14" s="79" t="str"/>
      <x:c r="G14" s="79" t="str"/>
      <x:c r="H14" s="184"/>
      <x:c r="I14" s="184"/>
      <x:c r="J14" s="184"/>
      <x:c r="K14" s="184"/>
      <x:c r="L14" s="184"/>
      <x:c r="M14" s="184"/>
      <x:c r="N14" s="184"/>
    </x:row>
    <x:row r="15">
      <x:c r="A15" s="79" t="str">
        <x:v>Outcomes and fiscal stewardship</x:v>
      </x:c>
      <x:c r="B15" s="180" t="str">
        <x:v>Mixed outcomes; fiscal promise off trajectory</x:v>
      </x:c>
      <x:c r="C15" s="79" t="str">
        <x:v>High for description; low for causality</x:v>
      </x:c>
      <x:c r="D15" s="79" t="str">
        <x:v>Population outcomes and fiscal credibility</x:v>
      </x:c>
      <x:c r="E15" s="79" t="str"/>
      <x:c r="F15" s="79" t="str"/>
      <x:c r="G15" s="79" t="str"/>
      <x:c r="H15" s="184"/>
      <x:c r="I15" s="184"/>
      <x:c r="J15" s="184"/>
      <x:c r="K15" s="184"/>
      <x:c r="L15" s="184"/>
      <x:c r="M15" s="184"/>
      <x:c r="N15" s="184"/>
    </x:row>
    <x:row r="16">
      <x:c r="A16" s="79" t="str">
        <x:v>Administrative health and confidence</x:v>
      </x:c>
      <x:c r="B16" s="180" t="str">
        <x:v>Morale unobserved; bounded capacity strain</x:v>
      </x:c>
      <x:c r="C16" s="79" t="str">
        <x:v>Moderate on strain mechanisms; low on morale</x:v>
      </x:c>
      <x:c r="D16" s="79" t="str">
        <x:v>Role clarity, workload and service safeguards</x:v>
      </x:c>
      <x:c r="E16" s="79" t="str"/>
      <x:c r="F16" s="79" t="str"/>
      <x:c r="G16" s="79" t="str"/>
      <x:c r="H16" s="184"/>
      <x:c r="I16" s="184"/>
      <x:c r="J16" s="184"/>
      <x:c r="K16" s="184"/>
      <x:c r="L16" s="184"/>
      <x:c r="M16" s="184"/>
      <x:c r="N16" s="184"/>
    </x:row>
    <x:row r="17">
      <x:c r="A17" s="79" t="str">
        <x:v>Communications and public credit</x:v>
      </x:c>
      <x:c r="B17" s="180" t="str">
        <x:v>Implementation-to-public-evaluation gap; mechanism unmeasured</x:v>
      </x:c>
      <x:c r="C17" s="79" t="str">
        <x:v>Medium</x:v>
      </x:c>
      <x:c r="D17" s="79" t="str">
        <x:v>Felt experience, credit conversion and trust</x:v>
      </x:c>
      <x:c r="E17" s="79" t="str"/>
      <x:c r="F17" s="79" t="str"/>
      <x:c r="G17" s="79" t="str"/>
      <x:c r="H17" s="184"/>
      <x:c r="I17" s="184"/>
      <x:c r="J17" s="184"/>
      <x:c r="K17" s="184"/>
      <x:c r="L17" s="184"/>
      <x:c r="M17" s="184"/>
      <x:c r="N17" s="184"/>
    </x:row>
    <x:row r="18">
      <x:c r="A18" s="80" t="str">
        <x:v>Electoral coalition and formation path</x:v>
      </x:c>
      <x:c r="B18" s="181" t="str">
        <x:v>Broad lead with a shallow majority firewall</x:v>
      </x:c>
      <x:c r="C18" s="80" t="str">
        <x:v>Moderate for nowcast mechanics; low for 2028</x:v>
      </x:c>
      <x:c r="D18" s="80" t="str">
        <x:v>Saint John/Kennebecasis/Hampton and rural-Anglophone coalition breadth</x:v>
      </x:c>
      <x:c r="E18" s="80" t="str"/>
      <x:c r="F18" s="80" t="str"/>
      <x:c r="G18" s="80" t="str"/>
      <x:c r="H18" s="184"/>
      <x:c r="I18" s="184"/>
      <x:c r="J18" s="184"/>
      <x:c r="K18" s="184"/>
      <x:c r="L18" s="184"/>
      <x:c r="M18" s="184"/>
      <x:c r="N18" s="184"/>
    </x:row>
    <x:row r="19">
      <x:c r="A19" s="184"/>
      <x:c r="B19" s="184"/>
      <x:c r="C19" s="184"/>
      <x:c r="D19" s="184"/>
      <x:c r="E19" s="184"/>
      <x:c r="F19" s="184"/>
      <x:c r="G19" s="184"/>
      <x:c r="H19" s="184"/>
      <x:c r="I19" s="184"/>
      <x:c r="J19" s="184"/>
      <x:c r="K19" s="184"/>
      <x:c r="L19" s="184"/>
      <x:c r="M19" s="184"/>
      <x:c r="N19" s="184"/>
    </x:row>
    <x:row r="20">
      <x:c r="A20" s="184"/>
      <x:c r="B20" s="184"/>
      <x:c r="C20" s="184"/>
      <x:c r="D20" s="184"/>
      <x:c r="E20" s="184"/>
      <x:c r="F20" s="184"/>
      <x:c r="G20" s="184"/>
      <x:c r="H20" s="184"/>
      <x:c r="I20" s="184"/>
      <x:c r="J20" s="184"/>
      <x:c r="K20" s="184"/>
      <x:c r="L20" s="184"/>
      <x:c r="M20" s="184"/>
      <x:c r="N20" s="184"/>
    </x:row>
    <x:row r="21">
      <x:c r="A21" s="184"/>
      <x:c r="B21" s="184"/>
      <x:c r="C21" s="184"/>
      <x:c r="D21" s="184"/>
      <x:c r="E21" s="184"/>
      <x:c r="F21" s="184"/>
      <x:c r="G21" s="184"/>
      <x:c r="H21" s="184"/>
      <x:c r="I21" s="184"/>
      <x:c r="J21" s="184"/>
      <x:c r="K21" s="184"/>
      <x:c r="L21" s="184"/>
      <x:c r="M21" s="184"/>
      <x:c r="N21" s="184"/>
    </x:row>
    <x:row r="22">
      <x:c r="A22" s="184"/>
      <x:c r="B22" s="184"/>
      <x:c r="C22" s="184"/>
      <x:c r="D22" s="184"/>
      <x:c r="E22" s="184"/>
      <x:c r="F22" s="184"/>
      <x:c r="G22" s="184"/>
      <x:c r="H22" s="184"/>
      <x:c r="I22" s="184"/>
      <x:c r="J22" s="184"/>
      <x:c r="K22" s="184"/>
      <x:c r="L22" s="184"/>
      <x:c r="M22" s="184"/>
      <x:c r="N22" s="184"/>
    </x:row>
    <x:row r="23">
      <x:c r="A23" s="184"/>
      <x:c r="B23" s="184"/>
      <x:c r="C23" s="184"/>
      <x:c r="D23" s="184"/>
      <x:c r="E23" s="184"/>
      <x:c r="F23" s="184"/>
      <x:c r="G23" s="184"/>
      <x:c r="H23" s="184"/>
      <x:c r="I23" s="184"/>
      <x:c r="J23" s="184"/>
      <x:c r="K23" s="184"/>
      <x:c r="L23" s="184"/>
      <x:c r="M23" s="184"/>
      <x:c r="N23" s="184"/>
    </x:row>
    <x:row r="24">
      <x:c r="A24" s="184"/>
      <x:c r="B24" s="184"/>
      <x:c r="C24" s="184"/>
      <x:c r="D24" s="184"/>
      <x:c r="E24" s="184"/>
      <x:c r="F24" s="184"/>
      <x:c r="G24" s="184"/>
      <x:c r="H24" s="184"/>
      <x:c r="I24" s="184"/>
      <x:c r="J24" s="184"/>
      <x:c r="K24" s="184"/>
      <x:c r="L24" s="184"/>
      <x:c r="M24" s="184"/>
      <x:c r="N24" s="184"/>
    </x:row>
    <x:row r="25">
      <x:c r="A25" s="184"/>
      <x:c r="B25" s="184"/>
      <x:c r="C25" s="184"/>
      <x:c r="D25" s="184"/>
      <x:c r="E25" s="184"/>
      <x:c r="F25" s="184"/>
      <x:c r="G25" s="184"/>
      <x:c r="H25" s="184"/>
      <x:c r="I25" s="184"/>
      <x:c r="J25" s="184"/>
      <x:c r="K25" s="184"/>
      <x:c r="L25" s="184"/>
      <x:c r="M25" s="184"/>
      <x:c r="N25" s="184"/>
    </x:row>
    <x:row r="26">
      <x:c r="A26" s="184"/>
      <x:c r="B26" s="184"/>
      <x:c r="C26" s="184"/>
      <x:c r="D26" s="184"/>
      <x:c r="E26" s="184"/>
      <x:c r="F26" s="184"/>
      <x:c r="G26" s="184"/>
      <x:c r="H26" s="184"/>
      <x:c r="I26" s="184"/>
      <x:c r="J26" s="184"/>
      <x:c r="K26" s="184"/>
      <x:c r="L26" s="184"/>
      <x:c r="M26" s="184"/>
      <x:c r="N26" s="184"/>
    </x:row>
    <x:row r="27">
      <x:c r="A27" s="184"/>
      <x:c r="B27" s="184"/>
      <x:c r="C27" s="184"/>
      <x:c r="D27" s="184"/>
      <x:c r="E27" s="184"/>
      <x:c r="F27" s="184"/>
      <x:c r="G27" s="184"/>
      <x:c r="H27" s="209" t="str">
        <x:v>Firewall: under the recency benchmark, about 8.2 points of adverse L-PC margin erosion removes the majority. From the lower Porter O’Brien benchmark, only another 2.9 points are needed. These are deterministic seat boundaries—not probabilities.</x:v>
      </x:c>
      <x:c r="I27" s="210" t="str">
        <x:v>Firewall: under the recency benchmark, about 8.2 points of adverse L-PC margin erosion removes the majority. From the lower Porter O’Brien benchmark, only another 2.9 points are needed. These are deterministic seat boundaries—not probabilities.</x:v>
      </x:c>
      <x:c r="J27" s="210" t="str">
        <x:v>Firewall: under the recency benchmark, about 8.2 points of adverse L-PC margin erosion removes the majority. From the lower Porter O’Brien benchmark, only another 2.9 points are needed. These are deterministic seat boundaries—not probabilities.</x:v>
      </x:c>
      <x:c r="K27" s="210" t="str">
        <x:v>Firewall: under the recency benchmark, about 8.2 points of adverse L-PC margin erosion removes the majority. From the lower Porter O’Brien benchmark, only another 2.9 points are needed. These are deterministic seat boundaries—not probabilities.</x:v>
      </x:c>
      <x:c r="L27" s="210" t="str">
        <x:v>Firewall: under the recency benchmark, about 8.2 points of adverse L-PC margin erosion removes the majority. From the lower Porter O’Brien benchmark, only another 2.9 points are needed. These are deterministic seat boundaries—not probabilities.</x:v>
      </x:c>
      <x:c r="M27" s="210" t="str">
        <x:v>Firewall: under the recency benchmark, about 8.2 points of adverse L-PC margin erosion removes the majority. From the lower Porter O’Brien benchmark, only another 2.9 points are needed. These are deterministic seat boundaries—not probabilities.</x:v>
      </x:c>
      <x:c r="N27" s="211" t="str">
        <x:v>Firewall: under the recency benchmark, about 8.2 points of adverse L-PC margin erosion removes the majority. From the lower Porter O’Brien benchmark, only another 2.9 points are needed. These are deterministic seat boundaries—not probabilities.</x:v>
      </x:c>
    </x:row>
    <x:row r="28">
      <x:c r="A28" s="184"/>
      <x:c r="B28" s="184"/>
      <x:c r="C28" s="184"/>
      <x:c r="D28" s="184"/>
      <x:c r="E28" s="184"/>
      <x:c r="F28" s="184"/>
      <x:c r="G28" s="184"/>
      <x:c r="H28" s="212" t="str">
        <x:v>Firewall: under the recency benchmark, about 8.2 points of adverse L-PC margin erosion removes the majority. From the lower Porter O’Brien benchmark, only another 2.9 points are needed. These are deterministic seat boundaries—not probabilities.</x:v>
      </x:c>
      <x:c r="I28" s="213" t="str">
        <x:v>Firewall: under the recency benchmark, about 8.2 points of adverse L-PC margin erosion removes the majority. From the lower Porter O’Brien benchmark, only another 2.9 points are needed. These are deterministic seat boundaries—not probabilities.</x:v>
      </x:c>
      <x:c r="J28" s="213" t="str">
        <x:v>Firewall: under the recency benchmark, about 8.2 points of adverse L-PC margin erosion removes the majority. From the lower Porter O’Brien benchmark, only another 2.9 points are needed. These are deterministic seat boundaries—not probabilities.</x:v>
      </x:c>
      <x:c r="K28" s="213" t="str">
        <x:v>Firewall: under the recency benchmark, about 8.2 points of adverse L-PC margin erosion removes the majority. From the lower Porter O’Brien benchmark, only another 2.9 points are needed. These are deterministic seat boundaries—not probabilities.</x:v>
      </x:c>
      <x:c r="L28" s="213" t="str">
        <x:v>Firewall: under the recency benchmark, about 8.2 points of adverse L-PC margin erosion removes the majority. From the lower Porter O’Brien benchmark, only another 2.9 points are needed. These are deterministic seat boundaries—not probabilities.</x:v>
      </x:c>
      <x:c r="M28" s="213" t="str">
        <x:v>Firewall: under the recency benchmark, about 8.2 points of adverse L-PC margin erosion removes the majority. From the lower Porter O’Brien benchmark, only another 2.9 points are needed. These are deterministic seat boundaries—not probabilities.</x:v>
      </x:c>
      <x:c r="N28" s="214" t="str">
        <x:v>Firewall: under the recency benchmark, about 8.2 points of adverse L-PC margin erosion removes the majority. From the lower Porter O’Brien benchmark, only another 2.9 points are needed. These are deterministic seat boundaries—not probabilities.</x:v>
      </x:c>
    </x:row>
    <x:row r="29">
      <x:c r="A29" s="184"/>
      <x:c r="B29" s="184"/>
      <x:c r="C29" s="184"/>
      <x:c r="D29" s="184"/>
      <x:c r="E29" s="184"/>
      <x:c r="F29" s="184"/>
      <x:c r="G29" s="184"/>
      <x:c r="H29" s="212" t="str">
        <x:v>Firewall: under the recency benchmark, about 8.2 points of adverse L-PC margin erosion removes the majority. From the lower Porter O’Brien benchmark, only another 2.9 points are needed. These are deterministic seat boundaries—not probabilities.</x:v>
      </x:c>
      <x:c r="I29" s="213" t="str">
        <x:v>Firewall: under the recency benchmark, about 8.2 points of adverse L-PC margin erosion removes the majority. From the lower Porter O’Brien benchmark, only another 2.9 points are needed. These are deterministic seat boundaries—not probabilities.</x:v>
      </x:c>
      <x:c r="J29" s="213" t="str">
        <x:v>Firewall: under the recency benchmark, about 8.2 points of adverse L-PC margin erosion removes the majority. From the lower Porter O’Brien benchmark, only another 2.9 points are needed. These are deterministic seat boundaries—not probabilities.</x:v>
      </x:c>
      <x:c r="K29" s="213" t="str">
        <x:v>Firewall: under the recency benchmark, about 8.2 points of adverse L-PC margin erosion removes the majority. From the lower Porter O’Brien benchmark, only another 2.9 points are needed. These are deterministic seat boundaries—not probabilities.</x:v>
      </x:c>
      <x:c r="L29" s="213" t="str">
        <x:v>Firewall: under the recency benchmark, about 8.2 points of adverse L-PC margin erosion removes the majority. From the lower Porter O’Brien benchmark, only another 2.9 points are needed. These are deterministic seat boundaries—not probabilities.</x:v>
      </x:c>
      <x:c r="M29" s="213" t="str">
        <x:v>Firewall: under the recency benchmark, about 8.2 points of adverse L-PC margin erosion removes the majority. From the lower Porter O’Brien benchmark, only another 2.9 points are needed. These are deterministic seat boundaries—not probabilities.</x:v>
      </x:c>
      <x:c r="N29" s="214" t="str">
        <x:v>Firewall: under the recency benchmark, about 8.2 points of adverse L-PC margin erosion removes the majority. From the lower Porter O’Brien benchmark, only another 2.9 points are needed. These are deterministic seat boundaries—not probabilities.</x:v>
      </x:c>
    </x:row>
    <x:row r="30">
      <x:c r="A30" s="184"/>
      <x:c r="B30" s="184"/>
      <x:c r="C30" s="184"/>
      <x:c r="D30" s="184"/>
      <x:c r="E30" s="184"/>
      <x:c r="F30" s="184"/>
      <x:c r="G30" s="184"/>
      <x:c r="H30" s="212" t="str">
        <x:v>Firewall: under the recency benchmark, about 8.2 points of adverse L-PC margin erosion removes the majority. From the lower Porter O’Brien benchmark, only another 2.9 points are needed. These are deterministic seat boundaries—not probabilities.</x:v>
      </x:c>
      <x:c r="I30" s="213" t="str">
        <x:v>Firewall: under the recency benchmark, about 8.2 points of adverse L-PC margin erosion removes the majority. From the lower Porter O’Brien benchmark, only another 2.9 points are needed. These are deterministic seat boundaries—not probabilities.</x:v>
      </x:c>
      <x:c r="J30" s="213" t="str">
        <x:v>Firewall: under the recency benchmark, about 8.2 points of adverse L-PC margin erosion removes the majority. From the lower Porter O’Brien benchmark, only another 2.9 points are needed. These are deterministic seat boundaries—not probabilities.</x:v>
      </x:c>
      <x:c r="K30" s="213" t="str">
        <x:v>Firewall: under the recency benchmark, about 8.2 points of adverse L-PC margin erosion removes the majority. From the lower Porter O’Brien benchmark, only another 2.9 points are needed. These are deterministic seat boundaries—not probabilities.</x:v>
      </x:c>
      <x:c r="L30" s="213" t="str">
        <x:v>Firewall: under the recency benchmark, about 8.2 points of adverse L-PC margin erosion removes the majority. From the lower Porter O’Brien benchmark, only another 2.9 points are needed. These are deterministic seat boundaries—not probabilities.</x:v>
      </x:c>
      <x:c r="M30" s="213" t="str">
        <x:v>Firewall: under the recency benchmark, about 8.2 points of adverse L-PC margin erosion removes the majority. From the lower Porter O’Brien benchmark, only another 2.9 points are needed. These are deterministic seat boundaries—not probabilities.</x:v>
      </x:c>
      <x:c r="N30" s="214" t="str">
        <x:v>Firewall: under the recency benchmark, about 8.2 points of adverse L-PC margin erosion removes the majority. From the lower Porter O’Brien benchmark, only another 2.9 points are needed. These are deterministic seat boundaries—not probabilities.</x:v>
      </x:c>
    </x:row>
    <x:row r="31">
      <x:c r="A31" s="184"/>
      <x:c r="B31" s="184"/>
      <x:c r="C31" s="184"/>
      <x:c r="D31" s="184"/>
      <x:c r="E31" s="184"/>
      <x:c r="F31" s="184"/>
      <x:c r="G31" s="184"/>
      <x:c r="H31" s="212" t="str">
        <x:v>Firewall: under the recency benchmark, about 8.2 points of adverse L-PC margin erosion removes the majority. From the lower Porter O’Brien benchmark, only another 2.9 points are needed. These are deterministic seat boundaries—not probabilities.</x:v>
      </x:c>
      <x:c r="I31" s="213" t="str">
        <x:v>Firewall: under the recency benchmark, about 8.2 points of adverse L-PC margin erosion removes the majority. From the lower Porter O’Brien benchmark, only another 2.9 points are needed. These are deterministic seat boundaries—not probabilities.</x:v>
      </x:c>
      <x:c r="J31" s="213" t="str">
        <x:v>Firewall: under the recency benchmark, about 8.2 points of adverse L-PC margin erosion removes the majority. From the lower Porter O’Brien benchmark, only another 2.9 points are needed. These are deterministic seat boundaries—not probabilities.</x:v>
      </x:c>
      <x:c r="K31" s="213" t="str">
        <x:v>Firewall: under the recency benchmark, about 8.2 points of adverse L-PC margin erosion removes the majority. From the lower Porter O’Brien benchmark, only another 2.9 points are needed. These are deterministic seat boundaries—not probabilities.</x:v>
      </x:c>
      <x:c r="L31" s="213" t="str">
        <x:v>Firewall: under the recency benchmark, about 8.2 points of adverse L-PC margin erosion removes the majority. From the lower Porter O’Brien benchmark, only another 2.9 points are needed. These are deterministic seat boundaries—not probabilities.</x:v>
      </x:c>
      <x:c r="M31" s="213" t="str">
        <x:v>Firewall: under the recency benchmark, about 8.2 points of adverse L-PC margin erosion removes the majority. From the lower Porter O’Brien benchmark, only another 2.9 points are needed. These are deterministic seat boundaries—not probabilities.</x:v>
      </x:c>
      <x:c r="N31" s="214" t="str">
        <x:v>Firewall: under the recency benchmark, about 8.2 points of adverse L-PC margin erosion removes the majority. From the lower Porter O’Brien benchmark, only another 2.9 points are needed. These are deterministic seat boundaries—not probabilities.</x:v>
      </x:c>
    </x:row>
    <x:row r="32">
      <x:c r="A32" s="184"/>
      <x:c r="B32" s="184"/>
      <x:c r="C32" s="184"/>
      <x:c r="D32" s="184"/>
      <x:c r="E32" s="184"/>
      <x:c r="F32" s="184"/>
      <x:c r="G32" s="184"/>
      <x:c r="H32" s="212" t="str">
        <x:v>Firewall: under the recency benchmark, about 8.2 points of adverse L-PC margin erosion removes the majority. From the lower Porter O’Brien benchmark, only another 2.9 points are needed. These are deterministic seat boundaries—not probabilities.</x:v>
      </x:c>
      <x:c r="I32" s="213" t="str">
        <x:v>Firewall: under the recency benchmark, about 8.2 points of adverse L-PC margin erosion removes the majority. From the lower Porter O’Brien benchmark, only another 2.9 points are needed. These are deterministic seat boundaries—not probabilities.</x:v>
      </x:c>
      <x:c r="J32" s="213" t="str">
        <x:v>Firewall: under the recency benchmark, about 8.2 points of adverse L-PC margin erosion removes the majority. From the lower Porter O’Brien benchmark, only another 2.9 points are needed. These are deterministic seat boundaries—not probabilities.</x:v>
      </x:c>
      <x:c r="K32" s="213" t="str">
        <x:v>Firewall: under the recency benchmark, about 8.2 points of adverse L-PC margin erosion removes the majority. From the lower Porter O’Brien benchmark, only another 2.9 points are needed. These are deterministic seat boundaries—not probabilities.</x:v>
      </x:c>
      <x:c r="L32" s="213" t="str">
        <x:v>Firewall: under the recency benchmark, about 8.2 points of adverse L-PC margin erosion removes the majority. From the lower Porter O’Brien benchmark, only another 2.9 points are needed. These are deterministic seat boundaries—not probabilities.</x:v>
      </x:c>
      <x:c r="M32" s="213" t="str">
        <x:v>Firewall: under the recency benchmark, about 8.2 points of adverse L-PC margin erosion removes the majority. From the lower Porter O’Brien benchmark, only another 2.9 points are needed. These are deterministic seat boundaries—not probabilities.</x:v>
      </x:c>
      <x:c r="N32" s="214" t="str">
        <x:v>Firewall: under the recency benchmark, about 8.2 points of adverse L-PC margin erosion removes the majority. From the lower Porter O’Brien benchmark, only another 2.9 points are needed. These are deterministic seat boundaries—not probabilities.</x:v>
      </x:c>
    </x:row>
    <x:row r="33">
      <x:c r="A33" s="184"/>
      <x:c r="B33" s="184"/>
      <x:c r="C33" s="184"/>
      <x:c r="D33" s="184"/>
      <x:c r="E33" s="184"/>
      <x:c r="F33" s="184"/>
      <x:c r="G33" s="184"/>
      <x:c r="H33" s="212" t="str">
        <x:v>Firewall: under the recency benchmark, about 8.2 points of adverse L-PC margin erosion removes the majority. From the lower Porter O’Brien benchmark, only another 2.9 points are needed. These are deterministic seat boundaries—not probabilities.</x:v>
      </x:c>
      <x:c r="I33" s="213" t="str">
        <x:v>Firewall: under the recency benchmark, about 8.2 points of adverse L-PC margin erosion removes the majority. From the lower Porter O’Brien benchmark, only another 2.9 points are needed. These are deterministic seat boundaries—not probabilities.</x:v>
      </x:c>
      <x:c r="J33" s="213" t="str">
        <x:v>Firewall: under the recency benchmark, about 8.2 points of adverse L-PC margin erosion removes the majority. From the lower Porter O’Brien benchmark, only another 2.9 points are needed. These are deterministic seat boundaries—not probabilities.</x:v>
      </x:c>
      <x:c r="K33" s="213" t="str">
        <x:v>Firewall: under the recency benchmark, about 8.2 points of adverse L-PC margin erosion removes the majority. From the lower Porter O’Brien benchmark, only another 2.9 points are needed. These are deterministic seat boundaries—not probabilities.</x:v>
      </x:c>
      <x:c r="L33" s="213" t="str">
        <x:v>Firewall: under the recency benchmark, about 8.2 points of adverse L-PC margin erosion removes the majority. From the lower Porter O’Brien benchmark, only another 2.9 points are needed. These are deterministic seat boundaries—not probabilities.</x:v>
      </x:c>
      <x:c r="M33" s="213" t="str">
        <x:v>Firewall: under the recency benchmark, about 8.2 points of adverse L-PC margin erosion removes the majority. From the lower Porter O’Brien benchmark, only another 2.9 points are needed. These are deterministic seat boundaries—not probabilities.</x:v>
      </x:c>
      <x:c r="N33" s="214" t="str">
        <x:v>Firewall: under the recency benchmark, about 8.2 points of adverse L-PC margin erosion removes the majority. From the lower Porter O’Brien benchmark, only another 2.9 points are needed. These are deterministic seat boundaries—not probabilities.</x:v>
      </x:c>
    </x:row>
    <x:row r="34">
      <x:c r="A34" s="184"/>
      <x:c r="B34" s="184"/>
      <x:c r="C34" s="184"/>
      <x:c r="D34" s="184"/>
      <x:c r="E34" s="184"/>
      <x:c r="F34" s="184"/>
      <x:c r="G34" s="184"/>
      <x:c r="H34" s="215" t="str">
        <x:v>Firewall: under the recency benchmark, about 8.2 points of adverse L-PC margin erosion removes the majority. From the lower Porter O’Brien benchmark, only another 2.9 points are needed. These are deterministic seat boundaries—not probabilities.</x:v>
      </x:c>
      <x:c r="I34" s="216" t="str">
        <x:v>Firewall: under the recency benchmark, about 8.2 points of adverse L-PC margin erosion removes the majority. From the lower Porter O’Brien benchmark, only another 2.9 points are needed. These are deterministic seat boundaries—not probabilities.</x:v>
      </x:c>
      <x:c r="J34" s="216" t="str">
        <x:v>Firewall: under the recency benchmark, about 8.2 points of adverse L-PC margin erosion removes the majority. From the lower Porter O’Brien benchmark, only another 2.9 points are needed. These are deterministic seat boundaries—not probabilities.</x:v>
      </x:c>
      <x:c r="K34" s="216" t="str">
        <x:v>Firewall: under the recency benchmark, about 8.2 points of adverse L-PC margin erosion removes the majority. From the lower Porter O’Brien benchmark, only another 2.9 points are needed. These are deterministic seat boundaries—not probabilities.</x:v>
      </x:c>
      <x:c r="L34" s="216" t="str">
        <x:v>Firewall: under the recency benchmark, about 8.2 points of adverse L-PC margin erosion removes the majority. From the lower Porter O’Brien benchmark, only another 2.9 points are needed. These are deterministic seat boundaries—not probabilities.</x:v>
      </x:c>
      <x:c r="M34" s="216" t="str">
        <x:v>Firewall: under the recency benchmark, about 8.2 points of adverse L-PC margin erosion removes the majority. From the lower Porter O’Brien benchmark, only another 2.9 points are needed. These are deterministic seat boundaries—not probabilities.</x:v>
      </x:c>
      <x:c r="N34" s="217" t="str">
        <x:v>Firewall: under the recency benchmark, about 8.2 points of adverse L-PC margin erosion removes the majority. From the lower Porter O’Brien benchmark, only another 2.9 points are needed. These are deterministic seat boundaries—not probabilities.</x:v>
      </x:c>
    </x:row>
  </x:sheetData>
  <x:mergeCells>
    <x:mergeCell ref="A1:N1"/>
    <x:mergeCell ref="A2:N2"/>
    <x:mergeCell ref="A4:C4"/>
    <x:mergeCell ref="D4:F4"/>
    <x:mergeCell ref="G4:J4"/>
    <x:mergeCell ref="K4:N4"/>
    <x:mergeCell ref="A5:C7"/>
    <x:mergeCell ref="D5:F7"/>
    <x:mergeCell ref="G5:J7"/>
    <x:mergeCell ref="K5:N7"/>
    <x:mergeCell ref="A9:N10"/>
    <x:mergeCell ref="H27:N34"/>
  </x:mergeCells>
  <x:pageMargins left="0.7" right="0.7" top="0.75" bottom="0.75" header="0.3" footer="0.3"/>
  <x:drawing xmlns:r="http://schemas.openxmlformats.org/officeDocument/2006/relationships" r:id="Rf6540a2dbead42cb"/>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78"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ht="30" customHeight="1">
      <x:c r="A1" s="182" t="str">
        <x:v>Mandate-conversion audit: guide and model gate</x:v>
      </x:c>
      <x:c r="B1" s="182" t="str">
        <x:v>Mandate-conversion audit: guide and model gate</x:v>
      </x:c>
      <x:c r="C1" s="182" t="str">
        <x:v>Mandate-conversion audit: guide and model gate</x:v>
      </x:c>
      <x:c r="D1" s="182" t="str">
        <x:v>Mandate-conversion audit: guide and model gate</x:v>
      </x:c>
      <x:c r="E1" s="182" t="str">
        <x:v>Mandate-conversion audit: guide and model gate</x:v>
      </x:c>
      <x:c r="F1" s="182" t="str">
        <x:v>Mandate-conversion audit: guide and model gate</x:v>
      </x:c>
      <x:c r="G1" s="182" t="str">
        <x:v>Mandate-conversion audit: guide and model gate</x:v>
      </x:c>
      <x:c r="H1" s="182" t="str">
        <x:v>Mandate-conversion audit: guide and model gate</x:v>
      </x:c>
    </x:row>
    <x:row r="2" ht="26" customHeight="1">
      <x:c r="A2" s="183" t="str">
        <x:v>Evidence frozen at 26 August 2026. The workbook separates facts, calculations, inferences, non-findings and conditional paths.</x:v>
      </x:c>
      <x:c r="B2" s="183" t="str">
        <x:v>Evidence frozen at 26 August 2026. The workbook separates facts, calculations, inferences, non-findings and conditional paths.</x:v>
      </x:c>
      <x:c r="C2" s="183" t="str">
        <x:v>Evidence frozen at 26 August 2026. The workbook separates facts, calculations, inferences, non-findings and conditional paths.</x:v>
      </x:c>
      <x:c r="D2" s="183" t="str">
        <x:v>Evidence frozen at 26 August 2026. The workbook separates facts, calculations, inferences, non-findings and conditional paths.</x:v>
      </x:c>
      <x:c r="E2" s="183" t="str">
        <x:v>Evidence frozen at 26 August 2026. The workbook separates facts, calculations, inferences, non-findings and conditional paths.</x:v>
      </x:c>
      <x:c r="F2" s="183" t="str">
        <x:v>Evidence frozen at 26 August 2026. The workbook separates facts, calculations, inferences, non-findings and conditional paths.</x:v>
      </x:c>
      <x:c r="G2" s="183" t="str">
        <x:v>Evidence frozen at 26 August 2026. The workbook separates facts, calculations, inferences, non-findings and conditional paths.</x:v>
      </x:c>
      <x:c r="H2" s="183" t="str">
        <x:v>Evidence frozen at 26 August 2026. The workbook separates facts, calculations, inferences, non-findings and conditional paths.</x:v>
      </x:c>
    </x:row>
    <x:row r="3">
      <x:c r="A3" s="184"/>
      <x:c r="B3" s="184"/>
      <x:c r="C3" s="184"/>
      <x:c r="D3" s="184"/>
      <x:c r="E3" s="184"/>
      <x:c r="F3" s="184"/>
      <x:c r="G3" s="184"/>
      <x:c r="H3" s="184"/>
    </x:row>
    <x:row r="4">
      <x:c r="A4" s="23" t="str">
        <x:v>Evidence cutoff</x:v>
      </x:c>
      <x:c r="B4" s="24" t="n">
        <x:v>46260.5</x:v>
      </x:c>
      <x:c r="C4" s="184"/>
      <x:c r="D4" s="184"/>
      <x:c r="E4" s="184"/>
      <x:c r="F4" s="184"/>
      <x:c r="G4" s="184"/>
      <x:c r="H4" s="184"/>
    </x:row>
    <x:row r="5">
      <x:c r="A5" s="23" t="str">
        <x:v>Primary clock</x:v>
      </x:c>
      <x:c r="B5" s="14" t="str">
        <x:v>674 days after the 21 October 2024 election</x:v>
      </x:c>
      <x:c r="C5" s="184"/>
      <x:c r="D5" s="184"/>
      <x:c r="E5" s="184"/>
      <x:c r="F5" s="184"/>
      <x:c r="G5" s="184"/>
      <x:c r="H5" s="184"/>
    </x:row>
    <x:row r="6">
      <x:c r="A6" s="23" t="str">
        <x:v>Office-clock sensitivity</x:v>
      </x:c>
      <x:c r="B6" s="14" t="str">
        <x:v>662 days after the 2 November 2024 swearing-in</x:v>
      </x:c>
      <x:c r="C6" s="184"/>
      <x:c r="D6" s="184"/>
      <x:c r="E6" s="184"/>
      <x:c r="F6" s="184"/>
      <x:c r="G6" s="184"/>
      <x:c r="H6" s="184"/>
    </x:row>
    <x:row r="7">
      <x:c r="A7" s="23" t="str">
        <x:v>Ordinary fixed-date horizon</x:v>
      </x:c>
      <x:c r="B7" s="14" t="str">
        <x:v>782 days to 16 October 2028, subject to dissolution</x:v>
      </x:c>
      <x:c r="C7" s="184"/>
      <x:c r="D7" s="184"/>
      <x:c r="E7" s="184"/>
      <x:c r="F7" s="184"/>
      <x:c r="G7" s="184"/>
      <x:c r="H7" s="184"/>
    </x:row>
    <x:row r="8">
      <x:c r="A8" s="23" t="str">
        <x:v>Canonical promises</x:v>
      </x:c>
      <x:c r="B8" s="14" t="n">
        <x:v>104</x:v>
      </x:c>
      <x:c r="C8" s="184"/>
      <x:c r="D8" s="184"/>
      <x:c r="E8" s="184"/>
      <x:c r="F8" s="184"/>
      <x:c r="G8" s="184"/>
      <x:c r="H8" s="184"/>
    </x:row>
    <x:row r="9">
      <x:c r="A9" s="23" t="str">
        <x:v>Majority threshold</x:v>
      </x:c>
      <x:c r="B9" s="14" t="n">
        <x:v>25</x:v>
      </x:c>
      <x:c r="C9" s="184"/>
      <x:c r="D9" s="184"/>
      <x:c r="E9" s="184"/>
      <x:c r="F9" s="184"/>
      <x:c r="G9" s="184"/>
      <x:c r="H9" s="184"/>
    </x:row>
    <x:row r="10">
      <x:c r="A10" s="23" t="str">
        <x:v>Current-model status</x:v>
      </x:c>
      <x:c r="B10" s="14" t="str">
        <x:v>Nowcast supported with material caveats</x:v>
      </x:c>
      <x:c r="C10" s="184"/>
      <x:c r="D10" s="184"/>
      <x:c r="E10" s="184"/>
      <x:c r="F10" s="184"/>
      <x:c r="G10" s="184"/>
      <x:c r="H10" s="184"/>
    </x:row>
    <x:row r="11">
      <x:c r="A11" s="23" t="str">
        <x:v>2028 probability</x:v>
      </x:c>
      <x:c r="B11" s="15" t="str">
        <x:v>NOT ESTIMABLE</x:v>
      </x:c>
      <x:c r="C11" s="184"/>
      <x:c r="D11" s="184"/>
      <x:c r="E11" s="184"/>
      <x:c r="F11" s="184"/>
      <x:c r="G11" s="184"/>
      <x:c r="H11" s="184"/>
    </x:row>
    <x:row r="12">
      <x:c r="A12" s="184"/>
      <x:c r="B12" s="184"/>
      <x:c r="C12" s="184"/>
      <x:c r="D12" s="184"/>
      <x:c r="E12" s="184"/>
      <x:c r="F12" s="184"/>
      <x:c r="G12" s="184"/>
      <x:c r="H12" s="184"/>
    </x:row>
    <x:row r="13">
      <x:c r="A13" s="184"/>
      <x:c r="B13" s="184"/>
      <x:c r="C13" s="184"/>
      <x:c r="D13" s="184"/>
      <x:c r="E13" s="184"/>
      <x:c r="F13" s="184"/>
      <x:c r="G13" s="184"/>
      <x:c r="H13" s="184"/>
    </x:row>
    <x:row r="14">
      <x:c r="A14" s="185" t="str">
        <x:v>Non-negotiable distinctions</x:v>
      </x:c>
      <x:c r="B14" s="186"/>
      <x:c r="C14" s="186"/>
      <x:c r="D14" s="186"/>
      <x:c r="E14" s="186"/>
      <x:c r="F14" s="186"/>
      <x:c r="G14" s="186"/>
      <x:c r="H14" s="187"/>
    </x:row>
    <x:row r="15">
      <x:c r="A15" s="184"/>
      <x:c r="B15" s="184"/>
      <x:c r="C15" s="184"/>
      <x:c r="D15" s="184"/>
      <x:c r="E15" s="184"/>
      <x:c r="F15" s="184"/>
      <x:c r="G15" s="184"/>
      <x:c r="H15" s="184"/>
    </x:row>
    <x:row r="16">
      <x:c r="A16" s="23" t="str">
        <x:v>Current standing</x:v>
      </x:c>
      <x:c r="B16" s="32" t="str">
        <x:v>A transparent recency-weighted polling benchmark; not a latent estimate or future-election forecast.</x:v>
      </x:c>
      <x:c r="C16" s="184"/>
      <x:c r="D16" s="184"/>
      <x:c r="E16" s="184"/>
      <x:c r="F16" s="184"/>
      <x:c r="G16" s="184"/>
      <x:c r="H16" s="184"/>
    </x:row>
    <x:row r="17">
      <x:c r="A17" s="23" t="str">
        <x:v>Election-held-today nowcast</x:v>
      </x:c>
      <x:c r="B17" s="33" t="str">
        <x:v>A deterministic 2024 riding benchmark; no assigned probability.</x:v>
      </x:c>
      <x:c r="C17" s="184"/>
      <x:c r="D17" s="184"/>
      <x:c r="E17" s="184"/>
      <x:c r="F17" s="184"/>
      <x:c r="G17" s="184"/>
      <x:c r="H17" s="184"/>
    </x:row>
    <x:row r="18">
      <x:c r="A18" s="23" t="str">
        <x:v>Policy output</x:v>
      </x:c>
      <x:c r="B18" s="33" t="str">
        <x:v>Authority, expenditure, programme capacity or reach; not automatically a population outcome.</x:v>
      </x:c>
      <x:c r="C18" s="184"/>
      <x:c r="D18" s="184"/>
      <x:c r="E18" s="184"/>
      <x:c r="F18" s="184"/>
      <x:c r="G18" s="184"/>
      <x:c r="H18" s="184"/>
    </x:row>
    <x:row r="19">
      <x:c r="A19" s="23" t="str">
        <x:v>Public credit</x:v>
      </x:c>
      <x:c r="B19" s="33" t="str">
        <x:v>Awareness and attribution are distinct from policy adequacy and lived experience.</x:v>
      </x:c>
      <x:c r="C19" s="184"/>
      <x:c r="D19" s="184"/>
      <x:c r="E19" s="184"/>
      <x:c r="F19" s="184"/>
      <x:c r="G19" s="184"/>
      <x:c r="H19" s="184"/>
    </x:row>
    <x:row r="20">
      <x:c r="A20" s="23" t="str">
        <x:v>Civil-service morale</x:v>
      </x:c>
      <x:c r="B20" s="33" t="str">
        <x:v>UNOBSERVED because no representative public series was located.</x:v>
      </x:c>
      <x:c r="C20" s="184"/>
      <x:c r="D20" s="184"/>
      <x:c r="E20" s="184"/>
      <x:c r="F20" s="184"/>
      <x:c r="G20" s="184"/>
      <x:c r="H20" s="184"/>
    </x:row>
    <x:row r="21">
      <x:c r="A21" s="23" t="str">
        <x:v>Historical analogue</x:v>
      </x:c>
      <x:c r="B21" s="34" t="str">
        <x:v>A case comparison, not a training sample or probability distribution.</x:v>
      </x:c>
      <x:c r="C21" s="184"/>
      <x:c r="D21" s="184"/>
      <x:c r="E21" s="184"/>
      <x:c r="F21" s="184"/>
      <x:c r="G21" s="184"/>
      <x:c r="H21" s="184"/>
    </x:row>
    <x:row r="22">
      <x:c r="A22" s="184"/>
      <x:c r="B22" s="184"/>
      <x:c r="C22" s="184"/>
      <x:c r="D22" s="184"/>
      <x:c r="E22" s="184"/>
      <x:c r="F22" s="184"/>
      <x:c r="G22" s="184"/>
      <x:c r="H22" s="184"/>
    </x:row>
    <x:row r="23">
      <x:c r="A23" s="184"/>
      <x:c r="B23" s="184"/>
      <x:c r="C23" s="184"/>
      <x:c r="D23" s="184"/>
      <x:c r="E23" s="184"/>
      <x:c r="F23" s="184"/>
      <x:c r="G23" s="184"/>
      <x:c r="H23" s="184"/>
    </x:row>
    <x:row r="24">
      <x:c r="A24" s="209"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B24" s="210"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C24" s="210"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D24" s="210"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E24" s="210"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F24" s="210"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G24" s="210"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H24" s="211"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row>
    <x:row r="25">
      <x:c r="A25" s="212"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B25" s="213"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C25" s="213"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D25" s="213"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E25" s="213"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F25" s="213"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G25" s="213"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H25" s="214"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row>
    <x:row r="26">
      <x:c r="A26" s="212"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B26" s="213"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C26" s="213"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D26" s="213"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E26" s="213"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F26" s="213"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G26" s="213"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H26" s="214"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row>
    <x:row r="27">
      <x:c r="A27" s="212"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B27" s="213"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C27" s="213"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D27" s="213"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E27" s="213"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F27" s="213"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G27" s="213"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H27" s="214"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row>
    <x:row r="28">
      <x:c r="A28" s="215"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B28" s="216"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C28" s="216"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D28" s="216"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E28" s="216"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F28" s="216"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G28" s="216"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c r="H28" s="217" t="str">
        <x:v>Model stop rule: a 2028 probability is withheld because only three scheduled-term endpoint analogues are central, historical intermediate polling is not model-grade, Higgs is a non-exchangeable 47-day minority/pandemic case, and no preregistered cross-provincial model was validated against simple benchmarks.</x:v>
      </x:c>
    </x:row>
  </x:sheetData>
  <x:mergeCells>
    <x:mergeCell ref="A1:H1"/>
    <x:mergeCell ref="A2:H2"/>
    <x:mergeCell ref="A14:H14"/>
    <x:mergeCell ref="A24:H28"/>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 min="3" max="3" width="65" hidden="0" customWidth="1"/>
    <x:col min="4" max="4" width="56" hidden="0" customWidth="1"/>
    <x:col min="5" max="5" width="26" hidden="0" customWidth="1"/>
    <x:col min="6" max="6" width="34" hidden="0" customWidth="1"/>
    <x:col min="7" max="7" width="22" hidden="0" customWidth="1"/>
  </x:cols>
  <x:sheetData>
    <x:row r="1" ht="30" customHeight="1">
      <x:c r="A1" s="182" t="str">
        <x:v>Six-domain mandate dashboard</x:v>
      </x:c>
      <x:c r="B1" s="182" t="str">
        <x:v>Six-domain mandate dashboard</x:v>
      </x:c>
      <x:c r="C1" s="182" t="str">
        <x:v>Six-domain mandate dashboard</x:v>
      </x:c>
      <x:c r="D1" s="182" t="str">
        <x:v>Six-domain mandate dashboard</x:v>
      </x:c>
      <x:c r="E1" s="182" t="str">
        <x:v>Six-domain mandate dashboard</x:v>
      </x:c>
      <x:c r="F1" s="182" t="str">
        <x:v>Six-domain mandate dashboard</x:v>
      </x:c>
      <x:c r="G1" s="182" t="str">
        <x:v>Six-domain mandate dashboard</x:v>
      </x:c>
    </x:row>
    <x:row r="2" ht="26" customHeight="1">
      <x:c r="A2" s="183" t="str">
        <x:v>No arbitrary composite score: disagreement among political, delivery, outcome, administrative and communication measures is substantive evidence.</x:v>
      </x:c>
      <x:c r="B2" s="183" t="str">
        <x:v>No arbitrary composite score: disagreement among political, delivery, outcome, administrative and communication measures is substantive evidence.</x:v>
      </x:c>
      <x:c r="C2" s="183" t="str">
        <x:v>No arbitrary composite score: disagreement among political, delivery, outcome, administrative and communication measures is substantive evidence.</x:v>
      </x:c>
      <x:c r="D2" s="183" t="str">
        <x:v>No arbitrary composite score: disagreement among political, delivery, outcome, administrative and communication measures is substantive evidence.</x:v>
      </x:c>
      <x:c r="E2" s="183" t="str">
        <x:v>No arbitrary composite score: disagreement among political, delivery, outcome, administrative and communication measures is substantive evidence.</x:v>
      </x:c>
      <x:c r="F2" s="183" t="str">
        <x:v>No arbitrary composite score: disagreement among political, delivery, outcome, administrative and communication measures is substantive evidence.</x:v>
      </x:c>
      <x:c r="G2" s="183" t="str">
        <x:v>No arbitrary composite score: disagreement among political, delivery, outcome, administrative and communication measures is substantive evidence.</x:v>
      </x:c>
    </x:row>
    <x:row r="3">
      <x:c r="A3" s="184"/>
      <x:c r="B3" s="184"/>
      <x:c r="C3" s="184"/>
      <x:c r="D3" s="184"/>
      <x:c r="E3" s="184"/>
      <x:c r="F3" s="184"/>
      <x:c r="G3" s="184"/>
    </x:row>
    <x:row r="4" ht="30" customHeight="1">
      <x:c r="A4" s="206" t="str">
        <x:v>Domain</x:v>
      </x:c>
      <x:c r="B4" s="207" t="str">
        <x:v>Current condition</x:v>
      </x:c>
      <x:c r="C4" s="207" t="str">
        <x:v>Evidence</x:v>
      </x:c>
      <x:c r="D4" s="207" t="str">
        <x:v>Historical comparison</x:v>
      </x:c>
      <x:c r="E4" s="207" t="str">
        <x:v>Confidence</x:v>
      </x:c>
      <x:c r="F4" s="207" t="str">
        <x:v>Earliest weak link</x:v>
      </x:c>
      <x:c r="G4" s="208" t="str">
        <x:v>Sources</x:v>
      </x:c>
    </x:row>
    <x:row r="5">
      <x:c r="A5" s="81" t="str">
        <x:v>Political standing and legitimacy</x:v>
      </x:c>
      <x:c r="B5" s="84" t="str">
        <x:v>Soft electoral advantage</x:v>
      </x:c>
      <x:c r="C5" s="81" t="str">
        <x:v>90-day recency benchmark L 43.2%, PC 33.0%, G 13.4%; deterministic riding benchmark 30-17-2. Abacus government handling 32/37 and right direction 34/45.</x:v>
      </x:c>
      <x:c r="D5" s="81" t="str">
        <x:v>At day 674, raw lead is below Graham, Gallant and the pandemic-era Higgs measure, and near Alward. Three scheduled-term predecessors later lost government despite leading.</x:v>
      </x:c>
      <x:c r="E5" s="81" t="str">
        <x:v>Moderate</x:v>
      </x:c>
      <x:c r="F5" s="81" t="str">
        <x:v>Trust and performance evaluation</x:v>
      </x:c>
      <x:c r="G5" s="81" t="str">
        <x:v>S06;S07;S08;S09;S01;S42</x:v>
      </x:c>
    </x:row>
    <x:row r="6">
      <x:c r="A6" s="82" t="str">
        <x:v>Promise and implementation delivery</x:v>
      </x:c>
      <x:c r="B6" s="85" t="str">
        <x:v>Substantial activity; selective proof</x:v>
      </x:c>
      <x:c r="C6" s="82" t="str">
        <x:v>Legislation, appropriations, clinics, rebates, rent cap, school breakfast and housing starts are documented. Many platform units have no public status or only an administrative milestone.</x:v>
      </x:c>
      <x:c r="D6" s="82" t="str">
        <x:v>No harmonized promise ledger meets the comparison threshold for three predecessors.</x:v>
      </x:c>
      <x:c r="E6" s="82" t="str">
        <x:v>Moderate</x:v>
      </x:c>
      <x:c r="F6" s="82" t="str">
        <x:v>Operational scale and result verification</x:v>
      </x:c>
      <x:c r="G6" s="82" t="str">
        <x:v>S10;S11;S12;S13;S14;S15;S16</x:v>
      </x:c>
    </x:row>
    <x:row r="7">
      <x:c r="A7" s="82" t="str">
        <x:v>Outcomes and fiscal stewardship</x:v>
      </x:c>
      <x:c r="B7" s="85" t="str">
        <x:v>Mixed outcomes; fiscal promise off trajectory</x:v>
      </x:c>
      <x:c r="C7" s="82" t="str">
        <x:v>Housing starts and affordable starts beat 2025 targets. Primary-care attachment fell to 73%; math measures fell; deficits were $104.4m actual, $1.33b projected and $1.39b budgeted.</x:v>
      </x:c>
      <x:c r="D7" s="82" t="str">
        <x:v>Outcome definitions and fiscal starting points are not sufficiently harmonized for a rank.</x:v>
      </x:c>
      <x:c r="E7" s="82" t="str">
        <x:v>High for description; low for causality</x:v>
      </x:c>
      <x:c r="F7" s="82" t="str">
        <x:v>Population outcomes and fiscal credibility</x:v>
      </x:c>
      <x:c r="G7" s="82" t="str">
        <x:v>S10;S17;S18;S19;S20;S21</x:v>
      </x:c>
    </x:row>
    <x:row r="8">
      <x:c r="A8" s="82" t="str">
        <x:v>Administrative health and confidence</x:v>
      </x:c>
      <x:c r="B8" s="85" t="str">
        <x:v>Morale unobserved; bounded capacity strain</x:v>
      </x:c>
      <x:c r="C8" s="82" t="str">
        <x:v>Leadership record is mostly internal movement, acting appointments and announced retirements. A 12% Part I reduction, dual-hatting, RTIPPA resourcing gaps and an AG staffing-related reporting failure create plausible strain.</x:v>
      </x:c>
      <x:c r="D8" s="82" t="str">
        <x:v>No standardized turnover or morale series exists across the five governments.</x:v>
      </x:c>
      <x:c r="E8" s="82" t="str">
        <x:v>Moderate on strain mechanisms; low on morale</x:v>
      </x:c>
      <x:c r="F8" s="82" t="str">
        <x:v>Role clarity, workload and service safeguards</x:v>
      </x:c>
      <x:c r="G8" s="82" t="str">
        <x:v>S22;S23;S24;S25;S26;S27</x:v>
      </x:c>
    </x:row>
    <x:row r="9">
      <x:c r="A9" s="82" t="str">
        <x:v>Communications and public credit</x:v>
      </x:c>
      <x:c r="B9" s="85" t="str">
        <x:v>Implementation-to-public-evaluation gap; mechanism unmeasured</x:v>
      </x:c>
      <x:c r="C9" s="82" t="str">
        <x:v>Consulting/communicating approval fell 4 points while overall approval fell 10 and Holt net favourability fell 18, but provider/weighting changes and absent uncertainty tests limit the comparison. Issue handling is weak despite visible outputs.</x:v>
      </x:c>
      <x:c r="D9" s="82" t="str">
        <x:v>Holt's public frame is less compressed than Graham's self-sufficiency or Gallant's jobs-first frame, but not clearly more diffuse than Alward or Higgs; the public effect is unmeasured.</x:v>
      </x:c>
      <x:c r="E9" s="82" t="str">
        <x:v>Medium</x:v>
      </x:c>
      <x:c r="F9" s="82" t="str">
        <x:v>Felt experience, credit conversion and trust</x:v>
      </x:c>
      <x:c r="G9" s="82" t="str">
        <x:v>S06;S28;S29;S30;S31</x:v>
      </x:c>
    </x:row>
    <x:row r="10">
      <x:c r="A10" s="83" t="str">
        <x:v>Electoral coalition and formation path</x:v>
      </x:c>
      <x:c r="B10" s="86" t="str">
        <x:v>Broad lead with a shallow majority firewall</x:v>
      </x:c>
      <x:c r="C10" s="83" t="str">
        <x:v>Broad northern strength and one small rural-Francophone cell contrast with Central/rural-Anglophone weakness. Three benchmark Liberal seats flip with under 2 points of adverse margin movement; six losses remove majority.</x:v>
      </x:c>
      <x:c r="D10" s="83" t="str">
        <x:v>Historical full-term day-674 margin erosion ranged from 16.1 to 29.3 points in three scheduled-term cases; n is too small for odds.</x:v>
      </x:c>
      <x:c r="E10" s="83" t="str">
        <x:v>Moderate for nowcast mechanics; low for 2028</x:v>
      </x:c>
      <x:c r="F10" s="83" t="str">
        <x:v>Saint John/Kennebecasis/Hampton and rural-Anglophone coalition breadth</x:v>
      </x:c>
      <x:c r="G10" s="83" t="str">
        <x:v>S06;S07;S01;S42</x:v>
      </x:c>
    </x:row>
  </x:sheetData>
  <x:mergeCells>
    <x:mergeCell ref="A1:G1"/>
    <x:mergeCell ref="A2:G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6" hidden="0" customWidth="1"/>
    <x:col min="3" max="3" width="4" hidden="0" customWidth="1"/>
    <x:col min="4" max="4" width="42" hidden="0" customWidth="1"/>
    <x:col min="5" max="5" width="16" hidden="0" customWidth="1"/>
    <x:col min="6" max="6" width="4" hidden="0" customWidth="1"/>
    <x:col min="7" max="7" width="30" hidden="0" customWidth="1"/>
    <x:col min="8" max="8" width="16" hidden="0" customWidth="1"/>
    <x:col min="9" max="9" width="12" hidden="0" customWidth="1"/>
    <x:col min="10" max="10" width="12" hidden="0" customWidth="1"/>
  </x:cols>
  <x:sheetData>
    <x:row r="1" ht="30" customHeight="1">
      <x:c r="A1" s="182" t="str">
        <x:v>Promise-universe summary</x:v>
      </x:c>
      <x:c r="B1" s="182" t="str">
        <x:v>Promise-universe summary</x:v>
      </x:c>
      <x:c r="C1" s="182" t="str">
        <x:v>Promise-universe summary</x:v>
      </x:c>
      <x:c r="D1" s="182" t="str">
        <x:v>Promise-universe summary</x:v>
      </x:c>
      <x:c r="E1" s="182" t="str">
        <x:v>Promise-universe summary</x:v>
      </x:c>
      <x:c r="F1" s="182" t="str">
        <x:v>Promise-universe summary</x:v>
      </x:c>
      <x:c r="G1" s="182" t="str">
        <x:v>Promise-universe summary</x:v>
      </x:c>
      <x:c r="H1" s="182" t="str">
        <x:v>Promise-universe summary</x:v>
      </x:c>
      <x:c r="I1" s="182" t="str">
        <x:v>Promise-universe summary</x:v>
      </x:c>
      <x:c r="J1" s="182" t="str">
        <x:v>Promise-universe summary</x:v>
      </x:c>
    </x:row>
    <x:row r="2" ht="26" customHeight="1">
      <x:c r="A2" s="183" t="str">
        <x:v>104 canonical units plus four retained duplicate/cross-reference rows. Counts describe public evidence stage, not policy effectiveness.</x:v>
      </x:c>
      <x:c r="B2" s="183" t="str">
        <x:v>104 canonical units plus four retained duplicate/cross-reference rows. Counts describe public evidence stage, not policy effectiveness.</x:v>
      </x:c>
      <x:c r="C2" s="183" t="str">
        <x:v>104 canonical units plus four retained duplicate/cross-reference rows. Counts describe public evidence stage, not policy effectiveness.</x:v>
      </x:c>
      <x:c r="D2" s="183" t="str">
        <x:v>104 canonical units plus four retained duplicate/cross-reference rows. Counts describe public evidence stage, not policy effectiveness.</x:v>
      </x:c>
      <x:c r="E2" s="183" t="str">
        <x:v>104 canonical units plus four retained duplicate/cross-reference rows. Counts describe public evidence stage, not policy effectiveness.</x:v>
      </x:c>
      <x:c r="F2" s="183" t="str">
        <x:v>104 canonical units plus four retained duplicate/cross-reference rows. Counts describe public evidence stage, not policy effectiveness.</x:v>
      </x:c>
      <x:c r="G2" s="183" t="str">
        <x:v>104 canonical units plus four retained duplicate/cross-reference rows. Counts describe public evidence stage, not policy effectiveness.</x:v>
      </x:c>
      <x:c r="H2" s="183" t="str">
        <x:v>104 canonical units plus four retained duplicate/cross-reference rows. Counts describe public evidence stage, not policy effectiveness.</x:v>
      </x:c>
      <x:c r="I2" s="183" t="str">
        <x:v>104 canonical units plus four retained duplicate/cross-reference rows. Counts describe public evidence stage, not policy effectiveness.</x:v>
      </x:c>
      <x:c r="J2" s="183" t="str">
        <x:v>104 canonical units plus four retained duplicate/cross-reference rows. Counts describe public evidence stage, not policy effectiveness.</x:v>
      </x:c>
    </x:row>
    <x:row r="3">
      <x:c r="A3" s="184"/>
      <x:c r="B3" s="184"/>
      <x:c r="C3" s="184"/>
      <x:c r="D3" s="184"/>
      <x:c r="E3" s="184"/>
      <x:c r="F3" s="184"/>
      <x:c r="G3" s="184"/>
      <x:c r="H3" s="184"/>
      <x:c r="I3" s="184"/>
      <x:c r="J3" s="184"/>
    </x:row>
    <x:row r="4" ht="30" customHeight="1">
      <x:c r="A4" s="206" t="str">
        <x:v>Official public tracker status</x:v>
      </x:c>
      <x:c r="B4" s="208" t="str">
        <x:v>Canonical units</x:v>
      </x:c>
      <x:c r="C4" s="184"/>
      <x:c r="D4" s="206" t="str">
        <x:v>Analyst-coded public-evidence stage</x:v>
      </x:c>
      <x:c r="E4" s="208" t="str">
        <x:v>Canonical units</x:v>
      </x:c>
      <x:c r="F4" s="184"/>
      <x:c r="G4" s="206" t="str">
        <x:v>Platform domain</x:v>
      </x:c>
      <x:c r="H4" s="208" t="str">
        <x:v>Canonical units</x:v>
      </x:c>
      <x:c r="I4" s="184"/>
      <x:c r="J4" s="184"/>
    </x:row>
    <x:row r="5">
      <x:c r="A5" s="13" t="str">
        <x:v>COMPLETE</x:v>
      </x:c>
      <x:c r="B5" s="13" t="n">
        <x:v>20</x:v>
      </x:c>
      <x:c r="C5" s="184"/>
      <x:c r="D5" s="13" t="str">
        <x:v>Fully operational at the promised scale</x:v>
      </x:c>
      <x:c r="E5" s="13" t="n">
        <x:v>9</x:v>
      </x:c>
      <x:c r="F5" s="184"/>
      <x:c r="G5" s="13" t="str">
        <x:v>Affordability and housing</x:v>
      </x:c>
      <x:c r="H5" s="13" t="n">
        <x:v>14</x:v>
      </x:c>
      <x:c r="I5" s="184"/>
      <x:c r="J5" s="184"/>
    </x:row>
    <x:row r="6">
      <x:c r="A6" s="14" t="str">
        <x:v>IN PROGRESS</x:v>
      </x:c>
      <x:c r="B6" s="14" t="n">
        <x:v>48</x:v>
      </x:c>
      <x:c r="C6" s="184"/>
      <x:c r="D6" s="14" t="str">
        <x:v>Legislation or authority established</x:v>
      </x:c>
      <x:c r="E6" s="14" t="n">
        <x:v>12</x:v>
      </x:c>
      <x:c r="F6" s="184"/>
      <x:c r="G6" s="14" t="str">
        <x:v>Economic development</x:v>
      </x:c>
      <x:c r="H6" s="14" t="n">
        <x:v>15</x:v>
      </x:c>
      <x:c r="I6" s="184"/>
      <x:c r="J6" s="184"/>
    </x:row>
    <x:row r="7">
      <x:c r="A7" s="14" t="str">
        <x:v>NO PUBLIC TRACKER STATUS</x:v>
      </x:c>
      <x:c r="B7" s="14" t="n">
        <x:v>35</x:v>
      </x:c>
      <x:c r="C7" s="184"/>
      <x:c r="D7" s="14" t="str">
        <x:v>Operational implementation begun</x:v>
      </x:c>
      <x:c r="E7" s="14" t="n">
        <x:v>16</x:v>
      </x:c>
      <x:c r="F7" s="184"/>
      <x:c r="G7" s="14" t="str">
        <x:v>Education</x:v>
      </x:c>
      <x:c r="H7" s="14" t="n">
        <x:v>16</x:v>
      </x:c>
      <x:c r="I7" s="184"/>
      <x:c r="J7" s="184"/>
    </x:row>
    <x:row r="8">
      <x:c r="A8" s="15" t="str">
        <x:v>NO STATUS</x:v>
      </x:c>
      <x:c r="B8" s="15" t="n">
        <x:v>1</x:v>
      </x:c>
      <x:c r="C8" s="184"/>
      <x:c r="D8" s="14" t="str">
        <x:v>Funding appropriated</x:v>
      </x:c>
      <x:c r="E8" s="14" t="n">
        <x:v>11</x:v>
      </x:c>
      <x:c r="F8" s="184"/>
      <x:c r="G8" s="14" t="str">
        <x:v>Environment</x:v>
      </x:c>
      <x:c r="H8" s="14" t="n">
        <x:v>11</x:v>
      </x:c>
      <x:c r="I8" s="184"/>
      <x:c r="J8" s="184"/>
    </x:row>
    <x:row r="9">
      <x:c r="A9" s="184"/>
      <x:c r="B9" s="184"/>
      <x:c r="C9" s="184"/>
      <x:c r="D9" s="14" t="str">
        <x:v>Partially available to intended residents</x:v>
      </x:c>
      <x:c r="E9" s="14" t="n">
        <x:v>7</x:v>
      </x:c>
      <x:c r="F9" s="184"/>
      <x:c r="G9" s="14" t="str">
        <x:v>Health care</x:v>
      </x:c>
      <x:c r="H9" s="14" t="n">
        <x:v>35</x:v>
      </x:c>
      <x:c r="I9" s="184"/>
      <x:c r="J9" s="184"/>
    </x:row>
    <x:row r="10">
      <x:c r="A10" s="184"/>
      <x:c r="B10" s="184"/>
      <x:c r="C10" s="184"/>
      <x:c r="D10" s="14" t="str">
        <x:v>Design or consultation</x:v>
      </x:c>
      <x:c r="E10" s="14" t="n">
        <x:v>13</x:v>
      </x:c>
      <x:c r="F10" s="184"/>
      <x:c r="G10" s="15" t="str">
        <x:v>Trusted leadership</x:v>
      </x:c>
      <x:c r="H10" s="15" t="n">
        <x:v>13</x:v>
      </x:c>
      <x:c r="I10" s="184"/>
      <x:c r="J10" s="184"/>
    </x:row>
    <x:row r="11">
      <x:c r="A11" s="184"/>
      <x:c r="B11" s="184"/>
      <x:c r="C11" s="184"/>
      <x:c r="D11" s="15" t="str">
        <x:v>Not verifiable</x:v>
      </x:c>
      <x:c r="E11" s="15" t="n">
        <x:v>36</x:v>
      </x:c>
      <x:c r="F11" s="184"/>
      <x:c r="G11" s="184"/>
      <x:c r="H11" s="184"/>
      <x:c r="I11" s="184"/>
      <x:c r="J11" s="184"/>
    </x:row>
    <x:row r="12">
      <x:c r="A12" s="184"/>
      <x:c r="B12" s="184"/>
      <x:c r="C12" s="184"/>
      <x:c r="D12" s="184"/>
      <x:c r="E12" s="184"/>
      <x:c r="F12" s="184"/>
      <x:c r="G12" s="184"/>
      <x:c r="H12" s="184"/>
      <x:c r="I12" s="184"/>
      <x:c r="J12" s="184"/>
    </x:row>
    <x:row r="13">
      <x:c r="A13" s="184"/>
      <x:c r="B13" s="184"/>
      <x:c r="C13" s="184"/>
      <x:c r="D13" s="184"/>
      <x:c r="E13" s="184"/>
      <x:c r="F13" s="184"/>
      <x:c r="G13" s="184"/>
      <x:c r="H13" s="184"/>
      <x:c r="I13" s="184"/>
      <x:c r="J13" s="184"/>
    </x:row>
    <x:row r="14">
      <x:c r="A14" s="184"/>
      <x:c r="B14" s="184"/>
      <x:c r="C14" s="184"/>
      <x:c r="D14" s="184"/>
      <x:c r="E14" s="184"/>
      <x:c r="F14" s="184"/>
      <x:c r="G14" s="184"/>
      <x:c r="H14" s="184"/>
      <x:c r="I14" s="184"/>
      <x:c r="J14" s="184"/>
    </x:row>
    <x:row r="15">
      <x:c r="A15" s="218" t="str">
        <x:v>Raw platform bullets</x:v>
      </x:c>
      <x:c r="B15" s="13" t="n">
        <x:v>102</x:v>
      </x:c>
      <x:c r="C15" s="184"/>
      <x:c r="D15" s="184"/>
      <x:c r="E15" s="184"/>
      <x:c r="F15" s="184"/>
      <x:c r="G15" s="184"/>
      <x:c r="H15" s="184"/>
      <x:c r="I15" s="184"/>
      <x:c r="J15" s="184"/>
    </x:row>
    <x:row r="16">
      <x:c r="A16" s="219" t="str">
        <x:v>Atomic rows after split</x:v>
      </x:c>
      <x:c r="B16" s="14" t="n">
        <x:v>108</x:v>
      </x:c>
      <x:c r="C16" s="184"/>
      <x:c r="D16" s="184"/>
      <x:c r="E16" s="184"/>
      <x:c r="F16" s="184"/>
      <x:c r="G16" s="184"/>
      <x:c r="H16" s="184"/>
      <x:c r="I16" s="184"/>
      <x:c r="J16" s="184"/>
    </x:row>
    <x:row r="17">
      <x:c r="A17" s="219" t="str">
        <x:v>Canonical units</x:v>
      </x:c>
      <x:c r="B17" s="14" t="n">
        <x:v>104</x:v>
      </x:c>
      <x:c r="C17" s="184"/>
      <x:c r="D17" s="184"/>
      <x:c r="E17" s="184"/>
      <x:c r="F17" s="184"/>
      <x:c r="G17" s="184"/>
      <x:c r="H17" s="184"/>
      <x:c r="I17" s="184"/>
      <x:c r="J17" s="184"/>
    </x:row>
    <x:row r="18">
      <x:c r="A18" s="220" t="str">
        <x:v>Duplicate/cross-reference rows</x:v>
      </x:c>
      <x:c r="B18" s="15" t="n">
        <x:v>4</x:v>
      </x:c>
      <x:c r="C18" s="184"/>
      <x:c r="D18" s="184"/>
      <x:c r="E18" s="184"/>
      <x:c r="F18" s="184"/>
      <x:c r="G18" s="184"/>
      <x:c r="H18" s="184"/>
      <x:c r="I18" s="184"/>
      <x:c r="J18" s="184"/>
    </x:row>
    <x:row r="19">
      <x:c r="A19" s="184"/>
      <x:c r="B19" s="184"/>
      <x:c r="C19" s="184"/>
      <x:c r="D19" s="184"/>
      <x:c r="E19" s="184"/>
      <x:c r="F19" s="184"/>
      <x:c r="G19" s="184"/>
      <x:c r="H19" s="184"/>
      <x:c r="I19" s="184"/>
      <x:c r="J19" s="184"/>
    </x:row>
    <x:row r="20">
      <x:c r="A20" s="184"/>
      <x:c r="B20" s="184"/>
      <x:c r="C20" s="184"/>
      <x:c r="D20" s="184"/>
      <x:c r="E20" s="184"/>
      <x:c r="F20" s="184"/>
      <x:c r="G20" s="184"/>
      <x:c r="H20" s="184"/>
      <x:c r="I20" s="184"/>
      <x:c r="J20" s="184"/>
    </x:row>
    <x:row r="21">
      <x:c r="A21" s="209"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B21" s="210"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C21" s="210"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D21" s="210"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E21" s="210"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F21" s="210"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G21" s="210"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H21" s="210"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I21" s="210"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J21" s="211" t="str">
        <x:v>Interpretation rule: an official COMPLETE label may describe enactment or launch. The verified-stage count asks what is publicly evidenced at the cutoff. Neither count should be converted into a cross-government rank without harmonized promise definitions and weights.</x:v>
      </x:c>
    </x:row>
    <x:row r="22">
      <x:c r="A22" s="212"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B22" s="213"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C22" s="213"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D22" s="213"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E22" s="213"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F22" s="213"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G22" s="213"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H22" s="213"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I22" s="213"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J22" s="214" t="str">
        <x:v>Interpretation rule: an official COMPLETE label may describe enactment or launch. The verified-stage count asks what is publicly evidenced at the cutoff. Neither count should be converted into a cross-government rank without harmonized promise definitions and weights.</x:v>
      </x:c>
    </x:row>
    <x:row r="23">
      <x:c r="A23" s="212"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B23" s="213"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C23" s="213"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D23" s="213"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E23" s="213"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F23" s="213"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G23" s="213"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H23" s="213"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I23" s="213"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J23" s="214" t="str">
        <x:v>Interpretation rule: an official COMPLETE label may describe enactment or launch. The verified-stage count asks what is publicly evidenced at the cutoff. Neither count should be converted into a cross-government rank without harmonized promise definitions and weights.</x:v>
      </x:c>
    </x:row>
    <x:row r="24">
      <x:c r="A24" s="212"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B24" s="213"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C24" s="213"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D24" s="213"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E24" s="213"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F24" s="213"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G24" s="213"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H24" s="213"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I24" s="213"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J24" s="214" t="str">
        <x:v>Interpretation rule: an official COMPLETE label may describe enactment or launch. The verified-stage count asks what is publicly evidenced at the cutoff. Neither count should be converted into a cross-government rank without harmonized promise definitions and weights.</x:v>
      </x:c>
    </x:row>
    <x:row r="25">
      <x:c r="A25" s="215"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B25" s="216"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C25" s="216"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D25" s="216"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E25" s="216"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F25" s="216"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G25" s="216"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H25" s="216"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I25" s="216" t="str">
        <x:v>Interpretation rule: an official COMPLETE label may describe enactment or launch. The verified-stage count asks what is publicly evidenced at the cutoff. Neither count should be converted into a cross-government rank without harmonized promise definitions and weights.</x:v>
      </x:c>
      <x:c r="J25" s="217" t="str">
        <x:v>Interpretation rule: an official COMPLETE label may describe enactment or launch. The verified-stage count asks what is publicly evidenced at the cutoff. Neither count should be converted into a cross-government rank without harmonized promise definitions and weights.</x:v>
      </x:c>
    </x:row>
  </x:sheetData>
  <x:mergeCells>
    <x:mergeCell ref="A1:J1"/>
    <x:mergeCell ref="A2:J2"/>
    <x:mergeCell ref="A21:J25"/>
  </x:mergeCells>
  <x:conditionalFormatting sqref="A5:A8">
    <x:cfRule type="expression" dxfId="2" priority="1">
      <x:formula>OR(ISNUMBER(SEARCH("GREEN",A5)),ISNUMBER(SEARCH("SUPPORTED",A5)),ISNUMBER(SEARCH("COMPLETE",A5)))</x:formula>
    </x:cfRule>
    <x:cfRule type="expression" dxfId="3" priority="2">
      <x:formula>OR(ISNUMBER(SEARCH("RED",A5)),ISNUMBER(SEARCH("MISSED",A5)),ISNUMBER(SEARCH("NOT SUPPORTED",A5)))</x:formula>
    </x:cfRule>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2" hidden="0" customWidth="1"/>
    <x:col min="2" max="2" width="18" hidden="0" customWidth="1"/>
    <x:col min="3" max="3" width="26" hidden="0" customWidth="1"/>
    <x:col min="4" max="4" width="70" hidden="0" customWidth="1"/>
    <x:col min="5" max="5" width="22" hidden="0" customWidth="1"/>
    <x:col min="6" max="6" width="34" hidden="0" customWidth="1"/>
    <x:col min="7" max="7" width="34" hidden="0" customWidth="1"/>
    <x:col min="8" max="8" width="13" hidden="0" customWidth="1"/>
    <x:col min="9" max="9" width="68" hidden="0" customWidth="1"/>
    <x:col min="10" max="10" width="58" hidden="0" customWidth="1"/>
    <x:col min="11" max="11" width="18" hidden="0" customWidth="1"/>
    <x:col min="12" max="12" width="22" hidden="0" customWidth="1"/>
    <x:col min="13" max="13" width="28" hidden="0" customWidth="1"/>
    <x:col min="14" max="14" width="20" hidden="0" customWidth="1"/>
    <x:col min="15" max="15" width="11" hidden="0" customWidth="1"/>
    <x:col min="16" max="16" width="18" hidden="0" customWidth="1"/>
  </x:cols>
  <x:sheetData>
    <x:row r="1" ht="30" customHeight="1">
      <x:c r="A1" s="182" t="str">
        <x:v>Canonical promise ledger with duplicate audit</x:v>
      </x:c>
      <x:c r="B1" s="182" t="str">
        <x:v>Canonical promise ledger with duplicate audit</x:v>
      </x:c>
      <x:c r="C1" s="182" t="str">
        <x:v>Canonical promise ledger with duplicate audit</x:v>
      </x:c>
      <x:c r="D1" s="182" t="str">
        <x:v>Canonical promise ledger with duplicate audit</x:v>
      </x:c>
      <x:c r="E1" s="182" t="str">
        <x:v>Canonical promise ledger with duplicate audit</x:v>
      </x:c>
      <x:c r="F1" s="182" t="str">
        <x:v>Canonical promise ledger with duplicate audit</x:v>
      </x:c>
      <x:c r="G1" s="182" t="str">
        <x:v>Canonical promise ledger with duplicate audit</x:v>
      </x:c>
      <x:c r="H1" s="182" t="str">
        <x:v>Canonical promise ledger with duplicate audit</x:v>
      </x:c>
      <x:c r="I1" s="182" t="str">
        <x:v>Canonical promise ledger with duplicate audit</x:v>
      </x:c>
      <x:c r="J1" s="182" t="str">
        <x:v>Canonical promise ledger with duplicate audit</x:v>
      </x:c>
      <x:c r="K1" s="182" t="str">
        <x:v>Canonical promise ledger with duplicate audit</x:v>
      </x:c>
      <x:c r="L1" s="182" t="str">
        <x:v>Canonical promise ledger with duplicate audit</x:v>
      </x:c>
      <x:c r="M1" s="182" t="str">
        <x:v>Canonical promise ledger with duplicate audit</x:v>
      </x:c>
      <x:c r="N1" s="182" t="str">
        <x:v>Canonical promise ledger with duplicate audit</x:v>
      </x:c>
      <x:c r="O1" s="182" t="str">
        <x:v>Canonical promise ledger with duplicate audit</x:v>
      </x:c>
      <x:c r="P1" s="182" t="str">
        <x:v>Canonical promise ledger with duplicate audit</x:v>
      </x:c>
    </x:row>
    <x:row r="2" ht="26" customHeight="1">
      <x:c r="A2" s="183" t="str">
        <x:v>Government tracker labels are preserved separately from analyst-verified stage, result evidence and confidence. Do not treat either field as a weighted effectiveness score.</x:v>
      </x:c>
      <x:c r="B2" s="183" t="str">
        <x:v>Government tracker labels are preserved separately from analyst-verified stage, result evidence and confidence. Do not treat either field as a weighted effectiveness score.</x:v>
      </x:c>
      <x:c r="C2" s="183" t="str">
        <x:v>Government tracker labels are preserved separately from analyst-verified stage, result evidence and confidence. Do not treat either field as a weighted effectiveness score.</x:v>
      </x:c>
      <x:c r="D2" s="183" t="str">
        <x:v>Government tracker labels are preserved separately from analyst-verified stage, result evidence and confidence. Do not treat either field as a weighted effectiveness score.</x:v>
      </x:c>
      <x:c r="E2" s="183" t="str">
        <x:v>Government tracker labels are preserved separately from analyst-verified stage, result evidence and confidence. Do not treat either field as a weighted effectiveness score.</x:v>
      </x:c>
      <x:c r="F2" s="183" t="str">
        <x:v>Government tracker labels are preserved separately from analyst-verified stage, result evidence and confidence. Do not treat either field as a weighted effectiveness score.</x:v>
      </x:c>
      <x:c r="G2" s="183" t="str">
        <x:v>Government tracker labels are preserved separately from analyst-verified stage, result evidence and confidence. Do not treat either field as a weighted effectiveness score.</x:v>
      </x:c>
      <x:c r="H2" s="183" t="str">
        <x:v>Government tracker labels are preserved separately from analyst-verified stage, result evidence and confidence. Do not treat either field as a weighted effectiveness score.</x:v>
      </x:c>
      <x:c r="I2" s="183" t="str">
        <x:v>Government tracker labels are preserved separately from analyst-verified stage, result evidence and confidence. Do not treat either field as a weighted effectiveness score.</x:v>
      </x:c>
      <x:c r="J2" s="183" t="str">
        <x:v>Government tracker labels are preserved separately from analyst-verified stage, result evidence and confidence. Do not treat either field as a weighted effectiveness score.</x:v>
      </x:c>
      <x:c r="K2" s="183" t="str">
        <x:v>Government tracker labels are preserved separately from analyst-verified stage, result evidence and confidence. Do not treat either field as a weighted effectiveness score.</x:v>
      </x:c>
      <x:c r="L2" s="183" t="str">
        <x:v>Government tracker labels are preserved separately from analyst-verified stage, result evidence and confidence. Do not treat either field as a weighted effectiveness score.</x:v>
      </x:c>
      <x:c r="M2" s="183" t="str">
        <x:v>Government tracker labels are preserved separately from analyst-verified stage, result evidence and confidence. Do not treat either field as a weighted effectiveness score.</x:v>
      </x:c>
      <x:c r="N2" s="183" t="str">
        <x:v>Government tracker labels are preserved separately from analyst-verified stage, result evidence and confidence. Do not treat either field as a weighted effectiveness score.</x:v>
      </x:c>
      <x:c r="O2" s="183" t="str">
        <x:v>Government tracker labels are preserved separately from analyst-verified stage, result evidence and confidence. Do not treat either field as a weighted effectiveness score.</x:v>
      </x:c>
      <x:c r="P2" s="183" t="str">
        <x:v>Government tracker labels are preserved separately from analyst-verified stage, result evidence and confidence. Do not treat either field as a weighted effectiveness score.</x:v>
      </x:c>
    </x:row>
    <x:row r="3">
      <x:c r="A3" s="184"/>
      <x:c r="B3" s="184"/>
      <x:c r="C3" s="184"/>
      <x:c r="D3" s="184"/>
      <x:c r="E3" s="184"/>
      <x:c r="F3" s="184"/>
      <x:c r="G3" s="184"/>
      <x:c r="H3" s="184"/>
      <x:c r="I3" s="184"/>
      <x:c r="J3" s="184"/>
      <x:c r="K3" s="184"/>
      <x:c r="L3" s="184"/>
      <x:c r="M3" s="184"/>
      <x:c r="N3" s="184"/>
      <x:c r="O3" s="184"/>
      <x:c r="P3" s="184"/>
    </x:row>
    <x:row r="4" ht="30" customHeight="1">
      <x:c r="A4" s="206" t="str">
        <x:v>Raw ID</x:v>
      </x:c>
      <x:c r="B4" s="207" t="str">
        <x:v>Canonical ID</x:v>
      </x:c>
      <x:c r="C4" s="207" t="str">
        <x:v>Domain</x:v>
      </x:c>
      <x:c r="D4" s="207" t="str">
        <x:v>Promise</x:v>
      </x:c>
      <x:c r="E4" s="207" t="str">
        <x:v>Official tracker</x:v>
      </x:c>
      <x:c r="F4" s="207" t="str">
        <x:v>Verified stage</x:v>
      </x:c>
      <x:c r="G4" s="207" t="str">
        <x:v>Target result</x:v>
      </x:c>
      <x:c r="H4" s="207" t="str">
        <x:v>Evidence date</x:v>
      </x:c>
      <x:c r="I4" s="207" t="str">
        <x:v>Evidence note</x:v>
      </x:c>
      <x:c r="J4" s="207" t="str">
        <x:v>Evidence URL</x:v>
      </x:c>
      <x:c r="K4" s="207" t="str">
        <x:v>Due date</x:v>
      </x:c>
      <x:c r="L4" s="207" t="str">
        <x:v>Timeliness</x:v>
      </x:c>
      <x:c r="M4" s="207" t="str">
        <x:v>Redesign</x:v>
      </x:c>
      <x:c r="N4" s="207" t="str">
        <x:v>Confidence</x:v>
      </x:c>
      <x:c r="O4" s="207" t="str">
        <x:v>Duplicate</x:v>
      </x:c>
      <x:c r="P4" s="208" t="str">
        <x:v>Duplicate of</x:v>
      </x:c>
    </x:row>
    <x:row r="5">
      <x:c r="A5" s="81" t="str">
        <x:v>PLAT-AFF-001-01</x:v>
      </x:c>
      <x:c r="B5" s="81" t="str">
        <x:v>HOLT-2024-P001</x:v>
      </x:c>
      <x:c r="C5" s="81" t="str">
        <x:v>Affordability and housing</x:v>
      </x:c>
      <x:c r="D5" s="81" t="str">
        <x:v>Immediately introduce a rent cap as part of a comprehensive update of the Residential Tenancies Act.</x:v>
      </x:c>
      <x:c r="E5" s="81" t="str">
        <x:v>COMPLETE</x:v>
      </x:c>
      <x:c r="F5" s="81" t="str">
        <x:v>Fully operational at the promised scale</x:v>
      </x:c>
      <x:c r="G5" s="81" t="str">
        <x:v>Operational output verified; effectiveness may remain untested</x:v>
      </x:c>
      <x:c r="H5" s="98" t="n">
        <x:v>45689.5</x:v>
      </x:c>
      <x:c r="I5" s="81" t="str">
        <x:v>Rent increases capped at 3% annually.</x:v>
      </x:c>
      <x:c r="J5" s="81" t="str">
        <x:v>https://www2.gnb.ca/content/gnb/en/corporate/promo/government-priorities/affordability-housing.html</x:v>
      </x:c>
      <x:c r="K5" s="81" t="str">
        <x:v>Immediate</x:v>
      </x:c>
      <x:c r="L5" s="81" t="str">
        <x:v>Not specified</x:v>
      </x:c>
      <x:c r="M5" s="81" t="str">
        <x:v>No verified material redesign</x:v>
      </x:c>
      <x:c r="N5" s="81" t="str">
        <x:v>Moderate</x:v>
      </x:c>
      <x:c r="O5" s="95" t="b">
        <x:v>0</x:v>
      </x:c>
      <x:c r="P5" s="81"/>
    </x:row>
    <x:row r="6">
      <x:c r="A6" s="82" t="str">
        <x:v>PLAT-AFF-002-01</x:v>
      </x:c>
      <x:c r="B6" s="82" t="str">
        <x:v>HOLT-2024-P002</x:v>
      </x:c>
      <x:c r="C6" s="82" t="str">
        <x:v>Affordability and housing</x:v>
      </x:c>
      <x:c r="D6" s="82" t="str">
        <x:v>Overhaul property tax to ensure stability and fairness.</x:v>
      </x:c>
      <x:c r="E6" s="82" t="str">
        <x:v>IN PROGRESS</x:v>
      </x:c>
      <x:c r="F6" s="82" t="str">
        <x:v>Legislation or authority established</x:v>
      </x:c>
      <x:c r="G6" s="82" t="str">
        <x:v>Not yet measurable</x:v>
      </x:c>
      <x:c r="H6" s="99" t="n">
        <x:v>45783.5</x:v>
      </x:c>
      <x:c r="I6" s="82" t="str">
        <x:v>Assessment values frozen while property-tax redesign continues.</x:v>
      </x:c>
      <x:c r="J6" s="82" t="str">
        <x:v>https://www2.gnb.ca/content/gnb/en/corporate/promo/government-priorities/affordability-housing.html</x:v>
      </x:c>
      <x:c r="K6" s="82"/>
      <x:c r="L6" s="82" t="str">
        <x:v>Not specified</x:v>
      </x:c>
      <x:c r="M6" s="82" t="str">
        <x:v>No verified material redesign</x:v>
      </x:c>
      <x:c r="N6" s="82" t="str">
        <x:v>Moderate</x:v>
      </x:c>
      <x:c r="O6" s="96" t="b">
        <x:v>0</x:v>
      </x:c>
      <x:c r="P6" s="82"/>
    </x:row>
    <x:row r="7">
      <x:c r="A7" s="82" t="str">
        <x:v>PLAT-AFF-003-01</x:v>
      </x:c>
      <x:c r="B7" s="82" t="str">
        <x:v>HOLT-2024-P003</x:v>
      </x:c>
      <x:c r="C7" s="82" t="str">
        <x:v>Affordability and housing</x:v>
      </x:c>
      <x:c r="D7" s="82" t="str">
        <x:v>Work with companies to increase investments in made-in New Brunswick solutions like modular and offsite housing.</x:v>
      </x:c>
      <x:c r="E7" s="82" t="str">
        <x:v>IN PROGRESS</x:v>
      </x:c>
      <x:c r="F7" s="82" t="str">
        <x:v>Operational implementation begun</x:v>
      </x:c>
      <x:c r="G7" s="82" t="str">
        <x:v>Not yet measurable</x:v>
      </x:c>
      <x:c r="H7" s="99" t="n">
        <x:v>45723.5</x:v>
      </x:c>
      <x:c r="I7" s="82" t="str">
        <x:v>$2.5 million investment in modular-home production cited by government.</x:v>
      </x:c>
      <x:c r="J7" s="82" t="str">
        <x:v>https://www2.gnb.ca/content/gnb/en/corporate/promo/government-priorities/affordability-housing.html</x:v>
      </x:c>
      <x:c r="K7" s="82"/>
      <x:c r="L7" s="82" t="str">
        <x:v>Not specified</x:v>
      </x:c>
      <x:c r="M7" s="82" t="str">
        <x:v>No verified material redesign</x:v>
      </x:c>
      <x:c r="N7" s="82" t="str">
        <x:v>Moderate</x:v>
      </x:c>
      <x:c r="O7" s="96" t="b">
        <x:v>0</x:v>
      </x:c>
      <x:c r="P7" s="82"/>
    </x:row>
    <x:row r="8">
      <x:c r="A8" s="82" t="str">
        <x:v>PLAT-AFF-004-01</x:v>
      </x:c>
      <x:c r="B8" s="82" t="str">
        <x:v>HOLT-2024-P004</x:v>
      </x:c>
      <x:c r="C8" s="82" t="str">
        <x:v>Affordability and housing</x:v>
      </x:c>
      <x:c r="D8" s="82" t="str">
        <x:v>Model a Community Housing Retention and Expansion Pilot to fund housing in the non-profit and community sectors that support capacity building pre-construction costs, and acquisition.</x:v>
      </x:c>
      <x:c r="E8" s="82" t="str">
        <x:v>NO PUBLIC TRACKER STATUS</x:v>
      </x:c>
      <x:c r="F8" s="82" t="str">
        <x:v>Not verifiable</x:v>
      </x:c>
      <x:c r="G8" s="82" t="str">
        <x:v>Not yet measurable</x:v>
      </x:c>
      <x:c r="H8" s="99"/>
      <x:c r="I8" s="82" t="str">
        <x:v>No model-grade implementation evidence located by cutoff.</x:v>
      </x:c>
      <x:c r="J8" s="82" t="str">
        <x:v>https://nbliberal.ca/platform/</x:v>
      </x:c>
      <x:c r="K8" s="82"/>
      <x:c r="L8" s="82" t="str">
        <x:v>Not specified</x:v>
      </x:c>
      <x:c r="M8" s="82" t="str">
        <x:v>No verified material redesign</x:v>
      </x:c>
      <x:c r="N8" s="82" t="str">
        <x:v>Low / unobserved</x:v>
      </x:c>
      <x:c r="O8" s="96" t="b">
        <x:v>0</x:v>
      </x:c>
      <x:c r="P8" s="82"/>
    </x:row>
    <x:row r="9">
      <x:c r="A9" s="82" t="str">
        <x:v>PLAT-AFF-005-01</x:v>
      </x:c>
      <x:c r="B9" s="82" t="str">
        <x:v>HOLT-2024-P005</x:v>
      </x:c>
      <x:c r="C9" s="82" t="str">
        <x:v>Affordability and housing</x:v>
      </x:c>
      <x:c r="D9" s="82" t="str">
        <x:v>Stop the degradation of public housing and invest in both the renovation and creation of new public housing.</x:v>
      </x:c>
      <x:c r="E9" s="82" t="str">
        <x:v>IN PROGRESS</x:v>
      </x:c>
      <x:c r="F9" s="82" t="str">
        <x:v>Operational implementation begun</x:v>
      </x:c>
      <x:c r="G9" s="82" t="str">
        <x:v>Not yet measurable</x:v>
      </x:c>
      <x:c r="H9" s="99" t="n">
        <x:v>46185.5</x:v>
      </x:c>
      <x:c r="I9" s="82" t="str">
        <x:v>Public-housing renovation and creation work is reported in progress.</x:v>
      </x:c>
      <x:c r="J9" s="82" t="str">
        <x:v>https://www2.gnb.ca/content/gnb/en/corporate/promo/government-priorities/affordability-housing.html</x:v>
      </x:c>
      <x:c r="K9" s="82"/>
      <x:c r="L9" s="82" t="str">
        <x:v>Not specified</x:v>
      </x:c>
      <x:c r="M9" s="82" t="str">
        <x:v>No verified material redesign</x:v>
      </x:c>
      <x:c r="N9" s="82" t="str">
        <x:v>Moderate</x:v>
      </x:c>
      <x:c r="O9" s="96" t="b">
        <x:v>0</x:v>
      </x:c>
      <x:c r="P9" s="82"/>
    </x:row>
    <x:row r="10">
      <x:c r="A10" s="82" t="str">
        <x:v>PLAT-AFF-006-01</x:v>
      </x:c>
      <x:c r="B10" s="82" t="str">
        <x:v>HOLT-2024-P006</x:v>
      </x:c>
      <x:c r="C10" s="82" t="str">
        <x:v>Affordability and housing</x:v>
      </x:c>
      <x:c r="D10" s="82" t="str">
        <x:v>Invest in long-term and sustainable core funding for transition homes and frontline domestic violence services, including women’s shelters and additional support services.</x:v>
      </x:c>
      <x:c r="E10" s="82" t="str">
        <x:v>COMPLETE</x:v>
      </x:c>
      <x:c r="F10" s="82" t="str">
        <x:v>Funding appropriated</x:v>
      </x:c>
      <x:c r="G10" s="82" t="str">
        <x:v>Not yet measurable</x:v>
      </x:c>
      <x:c r="H10" s="99" t="n">
        <x:v>45866.5</x:v>
      </x:c>
      <x:c r="I10" s="82" t="str">
        <x:v>$9.2 million announced for gender-based-violence services.</x:v>
      </x:c>
      <x:c r="J10" s="82" t="str">
        <x:v>https://www2.gnb.ca/content/gnb/en/corporate/promo/government-priorities/affordability-housing.html</x:v>
      </x:c>
      <x:c r="K10" s="82"/>
      <x:c r="L10" s="82" t="str">
        <x:v>Not specified</x:v>
      </x:c>
      <x:c r="M10" s="82" t="str">
        <x:v>No verified material redesign</x:v>
      </x:c>
      <x:c r="N10" s="82" t="str">
        <x:v>Moderate</x:v>
      </x:c>
      <x:c r="O10" s="96" t="b">
        <x:v>0</x:v>
      </x:c>
      <x:c r="P10" s="82"/>
    </x:row>
    <x:row r="11">
      <x:c r="A11" s="82" t="str">
        <x:v>PLAT-AFF-007-01</x:v>
      </x:c>
      <x:c r="B11" s="82" t="str">
        <x:v>HOLT-2024-P007</x:v>
      </x:c>
      <x:c r="C11" s="82" t="str">
        <x:v>Affordability and housing</x:v>
      </x:c>
      <x:c r="D11" s="82" t="str">
        <x:v>Provide funding for safety and accessibility retrofits for New Brunswick seniors and people with disabilities who wish to stay in their homes.</x:v>
      </x:c>
      <x:c r="E11" s="82" t="str">
        <x:v>NO PUBLIC TRACKER STATUS</x:v>
      </x:c>
      <x:c r="F11" s="82" t="str">
        <x:v>Not verifiable</x:v>
      </x:c>
      <x:c r="G11" s="82" t="str">
        <x:v>Not yet measurable</x:v>
      </x:c>
      <x:c r="H11" s="99"/>
      <x:c r="I11" s="82" t="str">
        <x:v>No model-grade implementation evidence located by cutoff.</x:v>
      </x:c>
      <x:c r="J11" s="82" t="str">
        <x:v>https://nbliberal.ca/platform/</x:v>
      </x:c>
      <x:c r="K11" s="82"/>
      <x:c r="L11" s="82" t="str">
        <x:v>Not specified</x:v>
      </x:c>
      <x:c r="M11" s="82" t="str">
        <x:v>No verified material redesign</x:v>
      </x:c>
      <x:c r="N11" s="82" t="str">
        <x:v>Low / unobserved</x:v>
      </x:c>
      <x:c r="O11" s="96" t="b">
        <x:v>0</x:v>
      </x:c>
      <x:c r="P11" s="82"/>
    </x:row>
    <x:row r="12">
      <x:c r="A12" s="82" t="str">
        <x:v>PLAT-AFF-008-01</x:v>
      </x:c>
      <x:c r="B12" s="82" t="str">
        <x:v>HOLT-2024-P008</x:v>
      </x:c>
      <x:c r="C12" s="82" t="str">
        <x:v>Affordability and housing</x:v>
      </x:c>
      <x:c r="D12" s="82" t="str">
        <x:v>Immediately remove the provincial sales tax (PST) on electricity, providing 10% relief from home energy bills.</x:v>
      </x:c>
      <x:c r="E12" s="82" t="str">
        <x:v>COMPLETE</x:v>
      </x:c>
      <x:c r="F12" s="82" t="str">
        <x:v>Fully operational at the promised scale</x:v>
      </x:c>
      <x:c r="G12" s="82" t="str">
        <x:v>Operational output verified; effectiveness may remain untested</x:v>
      </x:c>
      <x:c r="H12" s="99" t="n">
        <x:v>45658.5</x:v>
      </x:c>
      <x:c r="I12" s="82" t="str">
        <x:v>10% rebate on eligible residential electricity consumption began.</x:v>
      </x:c>
      <x:c r="J12" s="82" t="str">
        <x:v>https://www2.gnb.ca/content/gnb/en/corporate/promo/government-priorities/affordability-housing.html</x:v>
      </x:c>
      <x:c r="K12" s="82" t="str">
        <x:v>Immediate</x:v>
      </x:c>
      <x:c r="L12" s="82" t="str">
        <x:v>Not specified</x:v>
      </x:c>
      <x:c r="M12" s="82" t="str">
        <x:v>No verified material redesign</x:v>
      </x:c>
      <x:c r="N12" s="82" t="str">
        <x:v>Moderate</x:v>
      </x:c>
      <x:c r="O12" s="96" t="b">
        <x:v>0</x:v>
      </x:c>
      <x:c r="P12" s="82"/>
    </x:row>
    <x:row r="13">
      <x:c r="A13" s="82" t="str">
        <x:v>PLAT-AFF-009-01</x:v>
      </x:c>
      <x:c r="B13" s="82" t="str">
        <x:v>HOLT-2024-P009</x:v>
      </x:c>
      <x:c r="C13" s="82" t="str">
        <x:v>Affordability and housing</x:v>
      </x:c>
      <x:c r="D13" s="82" t="str">
        <x:v>Immediately remove the Higgs Gas Tax, saving you around 4 cents a litre at the pumps.</x:v>
      </x:c>
      <x:c r="E13" s="82" t="str">
        <x:v>COMPLETE</x:v>
      </x:c>
      <x:c r="F13" s="82" t="str">
        <x:v>Fully operational at the promised scale</x:v>
      </x:c>
      <x:c r="G13" s="82" t="str">
        <x:v>Operational output verified; effectiveness may remain untested</x:v>
      </x:c>
      <x:c r="H13" s="99" t="n">
        <x:v>45992.5</x:v>
      </x:c>
      <x:c r="I13" s="82" t="str">
        <x:v>Carbon-adjuster removal took effect.</x:v>
      </x:c>
      <x:c r="J13" s="82" t="str">
        <x:v>https://www2.gnb.ca/content/gnb/en/corporate/promo/government-priorities/affordability-housing.html</x:v>
      </x:c>
      <x:c r="K13" s="82" t="str">
        <x:v>Immediate</x:v>
      </x:c>
      <x:c r="L13" s="82" t="str">
        <x:v>Delivered after first year; 'immediate' wording not met literally</x:v>
      </x:c>
      <x:c r="M13" s="82" t="str">
        <x:v>No verified material redesign</x:v>
      </x:c>
      <x:c r="N13" s="82" t="str">
        <x:v>Moderate</x:v>
      </x:c>
      <x:c r="O13" s="96" t="b">
        <x:v>0</x:v>
      </x:c>
      <x:c r="P13" s="82"/>
    </x:row>
    <x:row r="14">
      <x:c r="A14" s="82" t="str">
        <x:v>PLAT-AFF-010-01</x:v>
      </x:c>
      <x:c r="B14" s="82" t="str">
        <x:v>HOLT-2024-P001</x:v>
      </x:c>
      <x:c r="C14" s="82" t="str">
        <x:v>Affordability and housing</x:v>
      </x:c>
      <x:c r="D14" s="82" t="str">
        <x:v>Immediately implement a rent cap (see housing).</x:v>
      </x:c>
      <x:c r="E14" s="82" t="str">
        <x:v>DUPLICATE / CROSS-REFERENCE</x:v>
      </x:c>
      <x:c r="F14" s="82" t="str">
        <x:v>Not applicable - duplicate</x:v>
      </x:c>
      <x:c r="G14" s="82" t="str">
        <x:v>Not double-counted</x:v>
      </x:c>
      <x:c r="H14" s="99"/>
      <x:c r="I14" s="82" t="str">
        <x:v>Repeated or cross-referenced platform commitment.</x:v>
      </x:c>
      <x:c r="J14" s="82" t="str">
        <x:v>https://nbliberal.ca/platform/</x:v>
      </x:c>
      <x:c r="K14" s="82"/>
      <x:c r="L14" s="82"/>
      <x:c r="M14" s="82"/>
      <x:c r="N14" s="82" t="str">
        <x:v>High</x:v>
      </x:c>
      <x:c r="O14" s="96" t="b">
        <x:v>1</x:v>
      </x:c>
      <x:c r="P14" s="82" t="str">
        <x:v>HOLT-2024-P001</x:v>
      </x:c>
    </x:row>
    <x:row r="15">
      <x:c r="A15" s="82" t="str">
        <x:v>PLAT-AFF-011-01</x:v>
      </x:c>
      <x:c r="B15" s="82" t="str">
        <x:v>HOLT-2024-P035; HOLT-2024-P036</x:v>
      </x:c>
      <x:c r="C15" s="82" t="str">
        <x:v>Affordability and housing</x:v>
      </x:c>
      <x:c r="D15" s="82" t="str">
        <x:v>Ensure your children have breakfast and lunch at school (see Education).</x:v>
      </x:c>
      <x:c r="E15" s="82" t="str">
        <x:v>DUPLICATE / CROSS-REFERENCE</x:v>
      </x:c>
      <x:c r="F15" s="82" t="str">
        <x:v>Not applicable - duplicate</x:v>
      </x:c>
      <x:c r="G15" s="82" t="str">
        <x:v>Not double-counted</x:v>
      </x:c>
      <x:c r="H15" s="99"/>
      <x:c r="I15" s="82" t="str">
        <x:v>Repeated or cross-referenced platform commitment.</x:v>
      </x:c>
      <x:c r="J15" s="82" t="str">
        <x:v>https://nbliberal.ca/platform/</x:v>
      </x:c>
      <x:c r="K15" s="82"/>
      <x:c r="L15" s="82"/>
      <x:c r="M15" s="82"/>
      <x:c r="N15" s="82" t="str">
        <x:v>High</x:v>
      </x:c>
      <x:c r="O15" s="96" t="b">
        <x:v>1</x:v>
      </x:c>
      <x:c r="P15" s="82" t="str">
        <x:v>HOLT-2024-P035; HOLT-2024-P036</x:v>
      </x:c>
    </x:row>
    <x:row r="16">
      <x:c r="A16" s="82" t="str">
        <x:v>PLAT-AFF-012-01</x:v>
      </x:c>
      <x:c r="B16" s="82" t="str">
        <x:v>HOLT-2024-P010</x:v>
      </x:c>
      <x:c r="C16" s="82" t="str">
        <x:v>Affordability and housing</x:v>
      </x:c>
      <x:c r="D16" s="82" t="str">
        <x:v>Provide wraparound services to those experiencing chronic homelessness, starting with housing, and support a community case management approach.</x:v>
      </x:c>
      <x:c r="E16" s="82" t="str">
        <x:v>IN PROGRESS</x:v>
      </x:c>
      <x:c r="F16" s="82" t="str">
        <x:v>Operational implementation begun</x:v>
      </x:c>
      <x:c r="G16" s="82" t="str">
        <x:v>Not yet measurable</x:v>
      </x:c>
      <x:c r="H16" s="99" t="n">
        <x:v>46009.5</x:v>
      </x:c>
      <x:c r="I16" s="82" t="str">
        <x:v>Homelessness strategy and mobile care initiatives reported.</x:v>
      </x:c>
      <x:c r="J16" s="82" t="str">
        <x:v>https://www2.gnb.ca/content/gnb/en/corporate/promo/government-priorities/affordability-housing.html</x:v>
      </x:c>
      <x:c r="K16" s="82"/>
      <x:c r="L16" s="82" t="str">
        <x:v>Not specified</x:v>
      </x:c>
      <x:c r="M16" s="82" t="str">
        <x:v>No verified material redesign</x:v>
      </x:c>
      <x:c r="N16" s="82" t="str">
        <x:v>Moderate</x:v>
      </x:c>
      <x:c r="O16" s="96" t="b">
        <x:v>0</x:v>
      </x:c>
      <x:c r="P16" s="82"/>
    </x:row>
    <x:row r="17">
      <x:c r="A17" s="82" t="str">
        <x:v>PLAT-AFF-013-01</x:v>
      </x:c>
      <x:c r="B17" s="82" t="str">
        <x:v>HOLT-2024-P011</x:v>
      </x:c>
      <x:c r="C17" s="82" t="str">
        <x:v>Affordability and housing</x:v>
      </x:c>
      <x:c r="D17" s="82" t="str">
        <x:v>Work directly with municipalities and community groups already grounded in a housing-first approach and support their expansion.</x:v>
      </x:c>
      <x:c r="E17" s="82" t="str">
        <x:v>IN PROGRESS</x:v>
      </x:c>
      <x:c r="F17" s="82" t="str">
        <x:v>Funding appropriated</x:v>
      </x:c>
      <x:c r="G17" s="82" t="str">
        <x:v>Not yet measurable</x:v>
      </x:c>
      <x:c r="H17" s="99" t="n">
        <x:v>46185.5</x:v>
      </x:c>
      <x:c r="I17" s="82" t="str">
        <x:v>$7.4 million conditional-grant program for non-profit housing providers.</x:v>
      </x:c>
      <x:c r="J17" s="82" t="str">
        <x:v>https://www2.gnb.ca/content/gnb/en/corporate/promo/government-priorities/affordability-housing.html</x:v>
      </x:c>
      <x:c r="K17" s="82"/>
      <x:c r="L17" s="82" t="str">
        <x:v>Not specified</x:v>
      </x:c>
      <x:c r="M17" s="82" t="str">
        <x:v>No verified material redesign</x:v>
      </x:c>
      <x:c r="N17" s="82" t="str">
        <x:v>Moderate</x:v>
      </x:c>
      <x:c r="O17" s="96" t="b">
        <x:v>0</x:v>
      </x:c>
      <x:c r="P17" s="82"/>
    </x:row>
    <x:row r="18">
      <x:c r="A18" s="82" t="str">
        <x:v>PLAT-AFF-014-01</x:v>
      </x:c>
      <x:c r="B18" s="82" t="str">
        <x:v>HOLT-2024-P012</x:v>
      </x:c>
      <x:c r="C18" s="82" t="str">
        <x:v>Affordability and housing</x:v>
      </x:c>
      <x:c r="D18" s="82" t="str">
        <x:v>Explore a plan for a basic income for New Brunswickers living with disabilities.</x:v>
      </x:c>
      <x:c r="E18" s="82" t="str">
        <x:v>NO PUBLIC TRACKER STATUS</x:v>
      </x:c>
      <x:c r="F18" s="82" t="str">
        <x:v>Not verifiable</x:v>
      </x:c>
      <x:c r="G18" s="82" t="str">
        <x:v>Not yet measurable</x:v>
      </x:c>
      <x:c r="H18" s="99"/>
      <x:c r="I18" s="82" t="str">
        <x:v>No model-grade implementation evidence located by cutoff.</x:v>
      </x:c>
      <x:c r="J18" s="82" t="str">
        <x:v>https://nbliberal.ca/platform/</x:v>
      </x:c>
      <x:c r="K18" s="82"/>
      <x:c r="L18" s="82" t="str">
        <x:v>Not specified</x:v>
      </x:c>
      <x:c r="M18" s="82" t="str">
        <x:v>No verified material redesign</x:v>
      </x:c>
      <x:c r="N18" s="82" t="str">
        <x:v>Low / unobserved</x:v>
      </x:c>
      <x:c r="O18" s="96" t="b">
        <x:v>0</x:v>
      </x:c>
      <x:c r="P18" s="82"/>
    </x:row>
    <x:row r="19">
      <x:c r="A19" s="82" t="str">
        <x:v>PLAT-AFF-015-01</x:v>
      </x:c>
      <x:c r="B19" s="82" t="str">
        <x:v>HOLT-2024-P013</x:v>
      </x:c>
      <x:c r="C19" s="82" t="str">
        <x:v>Affordability and housing</x:v>
      </x:c>
      <x:c r="D19" s="82" t="str">
        <x:v>Increase the capacity of New Brunswickers receiving social assistance to participate in the workforce without financial penalty or loss of benefits.</x:v>
      </x:c>
      <x:c r="E19" s="82" t="str">
        <x:v>NO PUBLIC TRACKER STATUS</x:v>
      </x:c>
      <x:c r="F19" s="82" t="str">
        <x:v>Not verifiable</x:v>
      </x:c>
      <x:c r="G19" s="82" t="str">
        <x:v>Not yet measurable</x:v>
      </x:c>
      <x:c r="H19" s="99"/>
      <x:c r="I19" s="82" t="str">
        <x:v>No model-grade implementation evidence located by cutoff.</x:v>
      </x:c>
      <x:c r="J19" s="82" t="str">
        <x:v>https://nbliberal.ca/platform/</x:v>
      </x:c>
      <x:c r="K19" s="82"/>
      <x:c r="L19" s="82" t="str">
        <x:v>Not specified</x:v>
      </x:c>
      <x:c r="M19" s="82" t="str">
        <x:v>No verified material redesign</x:v>
      </x:c>
      <x:c r="N19" s="82" t="str">
        <x:v>Low / unobserved</x:v>
      </x:c>
      <x:c r="O19" s="96" t="b">
        <x:v>0</x:v>
      </x:c>
      <x:c r="P19" s="82"/>
    </x:row>
    <x:row r="20">
      <x:c r="A20" s="82" t="str">
        <x:v>PLAT-AFF-016-01</x:v>
      </x:c>
      <x:c r="B20" s="82" t="str">
        <x:v>HOLT-2024-P014</x:v>
      </x:c>
      <x:c r="C20" s="82" t="str">
        <x:v>Affordability and housing</x:v>
      </x:c>
      <x:c r="D20" s="82" t="str">
        <x:v>Increase social assistance rates given the rising cost of food and housing, while ensuring regulations are not penalizing recipients.</x:v>
      </x:c>
      <x:c r="E20" s="82" t="str">
        <x:v>NO PUBLIC TRACKER STATUS</x:v>
      </x:c>
      <x:c r="F20" s="82" t="str">
        <x:v>Not verifiable</x:v>
      </x:c>
      <x:c r="G20" s="82" t="str">
        <x:v>Not yet measurable</x:v>
      </x:c>
      <x:c r="H20" s="99"/>
      <x:c r="I20" s="82" t="str">
        <x:v>No model-grade implementation evidence located by cutoff.</x:v>
      </x:c>
      <x:c r="J20" s="82" t="str">
        <x:v>https://nbliberal.ca/platform/</x:v>
      </x:c>
      <x:c r="K20" s="82"/>
      <x:c r="L20" s="82" t="str">
        <x:v>Not specified</x:v>
      </x:c>
      <x:c r="M20" s="82" t="str">
        <x:v>No verified material redesign</x:v>
      </x:c>
      <x:c r="N20" s="82" t="str">
        <x:v>Low / unobserved</x:v>
      </x:c>
      <x:c r="O20" s="96" t="b">
        <x:v>0</x:v>
      </x:c>
      <x:c r="P20" s="82"/>
    </x:row>
    <x:row r="21">
      <x:c r="A21" s="82" t="str">
        <x:v>PLAT-ECO-017-01</x:v>
      </x:c>
      <x:c r="B21" s="82" t="str">
        <x:v>HOLT-2024-P015</x:v>
      </x:c>
      <x:c r="C21" s="82" t="str">
        <x:v>Economic development</x:v>
      </x:c>
      <x:c r="D21" s="82" t="str">
        <x:v>Balance the budget in each year of our mandate.</x:v>
      </x:c>
      <x:c r="E21" s="82" t="str">
        <x:v>NO STATUS</x:v>
      </x:c>
      <x:c r="F21" s="82" t="str">
        <x:v>Not verifiable</x:v>
      </x:c>
      <x:c r="G21" s="82" t="str">
        <x:v>MISSED / OFF TRAJECTORY</x:v>
      </x:c>
      <x:c r="H21" s="99" t="n">
        <x:v>46098.5</x:v>
      </x:c>
      <x:c r="I21" s="82" t="str">
        <x:v>The 2026-27 budget projects a $1.39 billion deficit, contradicting the annual-balance outcome.</x:v>
      </x:c>
      <x:c r="J21" s="82" t="str">
        <x:v>https://www.gnb.ca/en/news/n-b.2026.03.budget-2026-27-putting-new-brunswickers-first.html</x:v>
      </x:c>
      <x:c r="K21" s="82" t="str">
        <x:v>Each fiscal year</x:v>
      </x:c>
      <x:c r="L21" s="82" t="str">
        <x:v>Missed in 2024-25; projected deficits in 2025-26 and 2026-27</x:v>
      </x:c>
      <x:c r="M21" s="82" t="str">
        <x:v>No verified material redesign</x:v>
      </x:c>
      <x:c r="N21" s="82" t="str">
        <x:v>Low / unobserved</x:v>
      </x:c>
      <x:c r="O21" s="96" t="b">
        <x:v>0</x:v>
      </x:c>
      <x:c r="P21" s="82"/>
    </x:row>
    <x:row r="22">
      <x:c r="A22" s="82" t="str">
        <x:v>PLAT-ECO-018-01</x:v>
      </x:c>
      <x:c r="B22" s="82" t="str">
        <x:v>HOLT-2024-P016</x:v>
      </x:c>
      <x:c r="C22" s="82" t="str">
        <x:v>Economic development</x:v>
      </x:c>
      <x:c r="D22" s="82" t="str">
        <x:v>Provide grants to New Brunswickers who have studied to work in high-priority fields, including healthcare, the building trades, and education.</x:v>
      </x:c>
      <x:c r="E22" s="82" t="str">
        <x:v>IN PROGRESS</x:v>
      </x:c>
      <x:c r="F22" s="82" t="str">
        <x:v>Partially available to intended residents</x:v>
      </x:c>
      <x:c r="G22" s="82" t="str">
        <x:v>Not yet measurable</x:v>
      </x:c>
      <x:c r="H22" s="99"/>
      <x:c r="I22" s="82" t="str">
        <x:v>No model-grade implementation evidence located by cutoff.</x:v>
      </x:c>
      <x:c r="J22" s="82" t="str">
        <x:v>https://nbliberal.ca/platform/</x:v>
      </x:c>
      <x:c r="K22" s="82"/>
      <x:c r="L22" s="82" t="str">
        <x:v>Not specified</x:v>
      </x:c>
      <x:c r="M22" s="82" t="str">
        <x:v>No verified material redesign</x:v>
      </x:c>
      <x:c r="N22" s="82" t="str">
        <x:v>Moderate</x:v>
      </x:c>
      <x:c r="O22" s="96" t="b">
        <x:v>0</x:v>
      </x:c>
      <x:c r="P22" s="82"/>
    </x:row>
    <x:row r="23">
      <x:c r="A23" s="82" t="str">
        <x:v>PLAT-ECO-019-01</x:v>
      </x:c>
      <x:c r="B23" s="82" t="str">
        <x:v>HOLT-2024-P017</x:v>
      </x:c>
      <x:c r="C23" s="82" t="str">
        <x:v>Economic development</x:v>
      </x:c>
      <x:c r="D23" s="82" t="str">
        <x:v>Focus immigration pathways on critical labour needs like healthcare, building trades and education, and supporting newcomers to make New Brunswick home.</x:v>
      </x:c>
      <x:c r="E23" s="82" t="str">
        <x:v>COMPLETE</x:v>
      </x:c>
      <x:c r="F23" s="82" t="str">
        <x:v>Operational implementation begun</x:v>
      </x:c>
      <x:c r="G23" s="82" t="str">
        <x:v>Not yet measurable</x:v>
      </x:c>
      <x:c r="H23" s="99" t="n">
        <x:v>46185.5</x:v>
      </x:c>
      <x:c r="I23" s="82" t="str">
        <x:v>Provincial nomination allocation increased to 4,250; broader settlement outcomes not measured.</x:v>
      </x:c>
      <x:c r="J23" s="82" t="str">
        <x:v>https://www2.gnb.ca/content/gnb/en/corporate/promo/government-priorities/economic-development.html</x:v>
      </x:c>
      <x:c r="K23" s="82"/>
      <x:c r="L23" s="82" t="str">
        <x:v>Not specified</x:v>
      </x:c>
      <x:c r="M23" s="82" t="str">
        <x:v>No verified material redesign</x:v>
      </x:c>
      <x:c r="N23" s="82" t="str">
        <x:v>Moderate</x:v>
      </x:c>
      <x:c r="O23" s="96" t="b">
        <x:v>0</x:v>
      </x:c>
      <x:c r="P23" s="82"/>
    </x:row>
    <x:row r="24">
      <x:c r="A24" s="82" t="str">
        <x:v>PLAT-ECO-020-01</x:v>
      </x:c>
      <x:c r="B24" s="82" t="str">
        <x:v>HOLT-2024-P018</x:v>
      </x:c>
      <x:c r="C24" s="82" t="str">
        <x:v>Economic development</x:v>
      </x:c>
      <x:c r="D24" s="82" t="str">
        <x:v>Review and simplify the foreign credential recognition process and let people get to work.</x:v>
      </x:c>
      <x:c r="E24" s="82" t="str">
        <x:v>NO PUBLIC TRACKER STATUS</x:v>
      </x:c>
      <x:c r="F24" s="82" t="str">
        <x:v>Not verifiable</x:v>
      </x:c>
      <x:c r="G24" s="82" t="str">
        <x:v>Not yet measurable</x:v>
      </x:c>
      <x:c r="H24" s="99"/>
      <x:c r="I24" s="82" t="str">
        <x:v>No model-grade implementation evidence located by cutoff.</x:v>
      </x:c>
      <x:c r="J24" s="82" t="str">
        <x:v>https://nbliberal.ca/platform/</x:v>
      </x:c>
      <x:c r="K24" s="82"/>
      <x:c r="L24" s="82" t="str">
        <x:v>Not specified</x:v>
      </x:c>
      <x:c r="M24" s="82" t="str">
        <x:v>No verified material redesign</x:v>
      </x:c>
      <x:c r="N24" s="82" t="str">
        <x:v>Low / unobserved</x:v>
      </x:c>
      <x:c r="O24" s="96" t="b">
        <x:v>0</x:v>
      </x:c>
      <x:c r="P24" s="82"/>
    </x:row>
    <x:row r="25">
      <x:c r="A25" s="82" t="str">
        <x:v>PLAT-ECO-021-01</x:v>
      </x:c>
      <x:c r="B25" s="82" t="str">
        <x:v>HOLT-2024-P019</x:v>
      </x:c>
      <x:c r="C25" s="82" t="str">
        <x:v>Economic development</x:v>
      </x:c>
      <x:c r="D25" s="82" t="str">
        <x:v>Phase in pay equity in the private and care sector, using a model similar to Quebec and Ontario.</x:v>
      </x:c>
      <x:c r="E25" s="82" t="str">
        <x:v>IN PROGRESS</x:v>
      </x:c>
      <x:c r="F25" s="82" t="str">
        <x:v>Legislation or authority established</x:v>
      </x:c>
      <x:c r="G25" s="82" t="str">
        <x:v>Not yet measurable</x:v>
      </x:c>
      <x:c r="H25" s="99" t="n">
        <x:v>46185.5</x:v>
      </x:c>
      <x:c r="I25" s="82" t="str">
        <x:v>Pay Transparency Act introduced; pay transparency is not equivalent to phased private/care-sector pay equity.</x:v>
      </x:c>
      <x:c r="J25" s="82" t="str">
        <x:v>https://www2.gnb.ca/content/gnb/en/corporate/promo/government-priorities/economic-development.html</x:v>
      </x:c>
      <x:c r="K25" s="82"/>
      <x:c r="L25" s="82" t="str">
        <x:v>Not specified</x:v>
      </x:c>
      <x:c r="M25" s="82" t="str">
        <x:v>Pay-transparency legislation is narrower than private/care-sector pay equity</x:v>
      </x:c>
      <x:c r="N25" s="82" t="str">
        <x:v>Moderate</x:v>
      </x:c>
      <x:c r="O25" s="96" t="b">
        <x:v>0</x:v>
      </x:c>
      <x:c r="P25" s="82"/>
    </x:row>
    <x:row r="26">
      <x:c r="A26" s="82" t="str">
        <x:v>PLAT-ECO-022-01</x:v>
      </x:c>
      <x:c r="B26" s="82" t="str">
        <x:v>HOLT-2024-P020</x:v>
      </x:c>
      <x:c r="C26" s="82" t="str">
        <x:v>Economic development</x:v>
      </x:c>
      <x:c r="D26" s="82" t="str">
        <x:v>Support unemployed and underemployed New Brunswickers to upskill the labour force.</x:v>
      </x:c>
      <x:c r="E26" s="82" t="str">
        <x:v>NO PUBLIC TRACKER STATUS</x:v>
      </x:c>
      <x:c r="F26" s="82" t="str">
        <x:v>Not verifiable</x:v>
      </x:c>
      <x:c r="G26" s="82" t="str">
        <x:v>Not yet measurable</x:v>
      </x:c>
      <x:c r="H26" s="99"/>
      <x:c r="I26" s="82" t="str">
        <x:v>No model-grade implementation evidence located by cutoff.</x:v>
      </x:c>
      <x:c r="J26" s="82" t="str">
        <x:v>https://nbliberal.ca/platform/</x:v>
      </x:c>
      <x:c r="K26" s="82"/>
      <x:c r="L26" s="82" t="str">
        <x:v>Not specified</x:v>
      </x:c>
      <x:c r="M26" s="82" t="str">
        <x:v>No verified material redesign</x:v>
      </x:c>
      <x:c r="N26" s="82" t="str">
        <x:v>Low / unobserved</x:v>
      </x:c>
      <x:c r="O26" s="96" t="b">
        <x:v>0</x:v>
      </x:c>
      <x:c r="P26" s="82"/>
    </x:row>
    <x:row r="27">
      <x:c r="A27" s="82" t="str">
        <x:v>PLAT-ECO-023-01</x:v>
      </x:c>
      <x:c r="B27" s="82" t="str">
        <x:v>HOLT-2024-P021</x:v>
      </x:c>
      <x:c r="C27" s="82" t="str">
        <x:v>Economic development</x:v>
      </x:c>
      <x:c r="D27" s="82" t="str">
        <x:v>Leverage our opportunities and strengths to invest in the right sectors at the right time including emerging opportunities in energy, technology, agriculture, and manufacturing.</x:v>
      </x:c>
      <x:c r="E27" s="82" t="str">
        <x:v>COMPLETE</x:v>
      </x:c>
      <x:c r="F27" s="82" t="str">
        <x:v>Design or consultation</x:v>
      </x:c>
      <x:c r="G27" s="82" t="str">
        <x:v>Not yet measurable</x:v>
      </x:c>
      <x:c r="H27" s="99" t="n">
        <x:v>46185.5</x:v>
      </x:c>
      <x:c r="I27" s="82" t="str">
        <x:v>Economic development strategy released; results remain to be demonstrated.</x:v>
      </x:c>
      <x:c r="J27" s="82" t="str">
        <x:v>https://www2.gnb.ca/content/gnb/en/corporate/promo/government-priorities/economic-development.html</x:v>
      </x:c>
      <x:c r="K27" s="82"/>
      <x:c r="L27" s="82" t="str">
        <x:v>Not specified</x:v>
      </x:c>
      <x:c r="M27" s="82" t="str">
        <x:v>No verified material redesign</x:v>
      </x:c>
      <x:c r="N27" s="82" t="str">
        <x:v>Moderate</x:v>
      </x:c>
      <x:c r="O27" s="96" t="b">
        <x:v>0</x:v>
      </x:c>
      <x:c r="P27" s="82"/>
    </x:row>
    <x:row r="28">
      <x:c r="A28" s="82" t="str">
        <x:v>PLAT-ECO-024-01</x:v>
      </x:c>
      <x:c r="B28" s="82" t="str">
        <x:v>HOLT-2024-P022</x:v>
      </x:c>
      <x:c r="C28" s="82" t="str">
        <x:v>Economic development</x:v>
      </x:c>
      <x:c r="D28" s="82" t="str">
        <x:v>Deliver an energy plan that provides affordable, reliable, clean energy for New Brunswickers and New Brunswick businesses.</x:v>
      </x:c>
      <x:c r="E28" s="82" t="str">
        <x:v>IN PROGRESS</x:v>
      </x:c>
      <x:c r="F28" s="82" t="str">
        <x:v>Design or consultation</x:v>
      </x:c>
      <x:c r="G28" s="82" t="str">
        <x:v>Not yet measurable</x:v>
      </x:c>
      <x:c r="H28" s="99" t="n">
        <x:v>46185.5</x:v>
      </x:c>
      <x:c r="I28" s="82" t="str">
        <x:v>NB Power action plan is cited as progress toward an energy plan.</x:v>
      </x:c>
      <x:c r="J28" s="82" t="str">
        <x:v>https://www2.gnb.ca/content/gnb/en/corporate/promo/government-priorities/environment.html</x:v>
      </x:c>
      <x:c r="K28" s="82"/>
      <x:c r="L28" s="82" t="str">
        <x:v>Not specified</x:v>
      </x:c>
      <x:c r="M28" s="82" t="str">
        <x:v>No verified material redesign</x:v>
      </x:c>
      <x:c r="N28" s="82" t="str">
        <x:v>Moderate</x:v>
      </x:c>
      <x:c r="O28" s="96" t="b">
        <x:v>0</x:v>
      </x:c>
      <x:c r="P28" s="82"/>
    </x:row>
    <x:row r="29">
      <x:c r="A29" s="82" t="str">
        <x:v>PLAT-ECO-024-02</x:v>
      </x:c>
      <x:c r="B29" s="82" t="str">
        <x:v>HOLT-2024-P023</x:v>
      </x:c>
      <x:c r="C29" s="82" t="str">
        <x:v>Economic development</x:v>
      </x:c>
      <x:c r="D29" s="82" t="str">
        <x:v>While we move to a 100 percent non-emitting grid, we will work with the federal government to ensure big emitters bear the brunt of the price on carbon.</x:v>
      </x:c>
      <x:c r="E29" s="82" t="str">
        <x:v>IN PROGRESS</x:v>
      </x:c>
      <x:c r="F29" s="82" t="str">
        <x:v>Design or consultation</x:v>
      </x:c>
      <x:c r="G29" s="82" t="str">
        <x:v>Not yet measurable</x:v>
      </x:c>
      <x:c r="H29" s="99" t="n">
        <x:v>46185.5</x:v>
      </x:c>
      <x:c r="I29" s="82" t="str">
        <x:v>NB Power action plan is cited as progress toward an energy plan.</x:v>
      </x:c>
      <x:c r="J29" s="82" t="str">
        <x:v>https://www2.gnb.ca/content/gnb/en/corporate/promo/government-priorities/environment.html</x:v>
      </x:c>
      <x:c r="K29" s="82"/>
      <x:c r="L29" s="82" t="str">
        <x:v>Not specified</x:v>
      </x:c>
      <x:c r="M29" s="82" t="str">
        <x:v>No verified material redesign</x:v>
      </x:c>
      <x:c r="N29" s="82" t="str">
        <x:v>Moderate</x:v>
      </x:c>
      <x:c r="O29" s="96" t="b">
        <x:v>0</x:v>
      </x:c>
      <x:c r="P29" s="82"/>
    </x:row>
    <x:row r="30">
      <x:c r="A30" s="82" t="str">
        <x:v>PLAT-ECO-025-01</x:v>
      </x:c>
      <x:c r="B30" s="82" t="str">
        <x:v>HOLT-2024-P024</x:v>
      </x:c>
      <x:c r="C30" s="82" t="str">
        <x:v>Economic development</x:v>
      </x:c>
      <x:c r="D30" s="82" t="str">
        <x:v>Close cell coverage and high-speed internet gaps across the province.</x:v>
      </x:c>
      <x:c r="E30" s="82" t="str">
        <x:v>IN PROGRESS</x:v>
      </x:c>
      <x:c r="F30" s="82" t="str">
        <x:v>Operational implementation begun</x:v>
      </x:c>
      <x:c r="G30" s="82" t="str">
        <x:v>Not yet measurable</x:v>
      </x:c>
      <x:c r="H30" s="99" t="n">
        <x:v>45937.5</x:v>
      </x:c>
      <x:c r="I30" s="82" t="str">
        <x:v>Cellular partnerships and three new towers announced.</x:v>
      </x:c>
      <x:c r="J30" s="82" t="str">
        <x:v>https://www2.gnb.ca/content/gnb/en/corporate/promo/government-priorities/economic-development.html</x:v>
      </x:c>
      <x:c r="K30" s="82"/>
      <x:c r="L30" s="82" t="str">
        <x:v>Not specified</x:v>
      </x:c>
      <x:c r="M30" s="82" t="str">
        <x:v>No verified material redesign</x:v>
      </x:c>
      <x:c r="N30" s="82" t="str">
        <x:v>Moderate</x:v>
      </x:c>
      <x:c r="O30" s="96" t="b">
        <x:v>0</x:v>
      </x:c>
      <x:c r="P30" s="82"/>
    </x:row>
    <x:row r="31">
      <x:c r="A31" s="82" t="str">
        <x:v>PLAT-ECO-026-01</x:v>
      </x:c>
      <x:c r="B31" s="82" t="str">
        <x:v>HOLT-2024-P025</x:v>
      </x:c>
      <x:c r="C31" s="82" t="str">
        <x:v>Economic development</x:v>
      </x:c>
      <x:c r="D31" s="82" t="str">
        <x:v>Increase productivity by reviewing and improving investment tax credits like SBITC and scientific research and economic development (SR/ED) credits to ensure investments in research, automation, and technology.</x:v>
      </x:c>
      <x:c r="E31" s="82" t="str">
        <x:v>IN PROGRESS</x:v>
      </x:c>
      <x:c r="F31" s="82" t="str">
        <x:v>Legislation or authority established</x:v>
      </x:c>
      <x:c r="G31" s="82" t="str">
        <x:v>Not yet measurable</x:v>
      </x:c>
      <x:c r="H31" s="99"/>
      <x:c r="I31" s="82" t="str">
        <x:v>No model-grade implementation evidence located by cutoff.</x:v>
      </x:c>
      <x:c r="J31" s="82" t="str">
        <x:v>https://nbliberal.ca/platform/</x:v>
      </x:c>
      <x:c r="K31" s="82"/>
      <x:c r="L31" s="82" t="str">
        <x:v>Not specified</x:v>
      </x:c>
      <x:c r="M31" s="82" t="str">
        <x:v>No verified material redesign</x:v>
      </x:c>
      <x:c r="N31" s="82" t="str">
        <x:v>Moderate</x:v>
      </x:c>
      <x:c r="O31" s="96" t="b">
        <x:v>0</x:v>
      </x:c>
      <x:c r="P31" s="82"/>
    </x:row>
    <x:row r="32">
      <x:c r="A32" s="82" t="str">
        <x:v>PLAT-ECO-027-01</x:v>
      </x:c>
      <x:c r="B32" s="82" t="str">
        <x:v>HOLT-2024-P026</x:v>
      </x:c>
      <x:c r="C32" s="82" t="str">
        <x:v>Economic development</x:v>
      </x:c>
      <x:c r="D32" s="82" t="str">
        <x:v>Increase New Brunswick exports by diversifying our international markets and working with our Canadian neighbours to remove trade and credential barriers posing economic roadblocks.</x:v>
      </x:c>
      <x:c r="E32" s="82" t="str">
        <x:v>IN PROGRESS</x:v>
      </x:c>
      <x:c r="F32" s="82" t="str">
        <x:v>Legislation or authority established</x:v>
      </x:c>
      <x:c r="G32" s="82" t="str">
        <x:v>Not yet measurable</x:v>
      </x:c>
      <x:c r="H32" s="99"/>
      <x:c r="I32" s="82" t="str">
        <x:v>No model-grade implementation evidence located by cutoff.</x:v>
      </x:c>
      <x:c r="J32" s="82" t="str">
        <x:v>https://nbliberal.ca/platform/</x:v>
      </x:c>
      <x:c r="K32" s="82"/>
      <x:c r="L32" s="82" t="str">
        <x:v>Not specified</x:v>
      </x:c>
      <x:c r="M32" s="82" t="str">
        <x:v>No verified material redesign</x:v>
      </x:c>
      <x:c r="N32" s="82" t="str">
        <x:v>Moderate</x:v>
      </x:c>
      <x:c r="O32" s="96" t="b">
        <x:v>0</x:v>
      </x:c>
      <x:c r="P32" s="82"/>
    </x:row>
    <x:row r="33">
      <x:c r="A33" s="82" t="str">
        <x:v>PLAT-ECO-028-01</x:v>
      </x:c>
      <x:c r="B33" s="82" t="str">
        <x:v>HOLT-2024-P027</x:v>
      </x:c>
      <x:c r="C33" s="82" t="str">
        <x:v>Economic development</x:v>
      </x:c>
      <x:c r="D33" s="82" t="str">
        <x:v>Consider arts and culture as important economic and social drivers. Better leverage opportunities to invest in our artists, cultural and creative industries, and institutions to ensure good-paying jobs and a robust creative economy that all New Brunswickers can be proud of.</x:v>
      </x:c>
      <x:c r="E33" s="82" t="str">
        <x:v>IN PROGRESS</x:v>
      </x:c>
      <x:c r="F33" s="82" t="str">
        <x:v>Operational implementation begun</x:v>
      </x:c>
      <x:c r="G33" s="82" t="str">
        <x:v>Not yet measurable</x:v>
      </x:c>
      <x:c r="H33" s="99"/>
      <x:c r="I33" s="82" t="str">
        <x:v>No model-grade implementation evidence located by cutoff.</x:v>
      </x:c>
      <x:c r="J33" s="82" t="str">
        <x:v>https://nbliberal.ca/platform/</x:v>
      </x:c>
      <x:c r="K33" s="82"/>
      <x:c r="L33" s="82" t="str">
        <x:v>Not specified</x:v>
      </x:c>
      <x:c r="M33" s="82" t="str">
        <x:v>No verified material redesign</x:v>
      </x:c>
      <x:c r="N33" s="82" t="str">
        <x:v>Moderate</x:v>
      </x:c>
      <x:c r="O33" s="96" t="b">
        <x:v>0</x:v>
      </x:c>
      <x:c r="P33" s="82"/>
    </x:row>
    <x:row r="34">
      <x:c r="A34" s="82" t="str">
        <x:v>PLAT-ECO-029-01</x:v>
      </x:c>
      <x:c r="B34" s="82" t="str">
        <x:v>HOLT-2024-P028</x:v>
      </x:c>
      <x:c r="C34" s="82" t="str">
        <x:v>Economic development</x:v>
      </x:c>
      <x:c r="D34" s="82" t="str">
        <x:v>Support the transition committee’s work on the Status of the Artist.</x:v>
      </x:c>
      <x:c r="E34" s="82" t="str">
        <x:v>COMPLETE</x:v>
      </x:c>
      <x:c r="F34" s="82" t="str">
        <x:v>Legislation or authority established</x:v>
      </x:c>
      <x:c r="G34" s="82" t="str">
        <x:v>Not yet measurable</x:v>
      </x:c>
      <x:c r="H34" s="99" t="n">
        <x:v>45786.5</x:v>
      </x:c>
      <x:c r="I34" s="82" t="str">
        <x:v>Status of the Artist legislation introduced.</x:v>
      </x:c>
      <x:c r="J34" s="82" t="str">
        <x:v>https://www2.gnb.ca/content/gnb/en/corporate/promo/government-priorities/economic-development.html</x:v>
      </x:c>
      <x:c r="K34" s="82"/>
      <x:c r="L34" s="82" t="str">
        <x:v>Not specified</x:v>
      </x:c>
      <x:c r="M34" s="82" t="str">
        <x:v>No verified material redesign</x:v>
      </x:c>
      <x:c r="N34" s="82" t="str">
        <x:v>Moderate</x:v>
      </x:c>
      <x:c r="O34" s="96" t="b">
        <x:v>0</x:v>
      </x:c>
      <x:c r="P34" s="82"/>
    </x:row>
    <x:row r="35">
      <x:c r="A35" s="82" t="str">
        <x:v>PLAT-ECO-030-01</x:v>
      </x:c>
      <x:c r="B35" s="82" t="str">
        <x:v>HOLT-2024-P029</x:v>
      </x:c>
      <x:c r="C35" s="82" t="str">
        <x:v>Economic development</x:v>
      </x:c>
      <x:c r="D35" s="82" t="str">
        <x:v>Maximize the benefit of infrastructure to New Brunswickers by leveraging an asset management plan for transportation infrastructure to ensure roads and bridges are prioritized for repair or replacement and that contractors are paid on time.</x:v>
      </x:c>
      <x:c r="E35" s="82" t="str">
        <x:v>COMPLETE</x:v>
      </x:c>
      <x:c r="F35" s="82" t="str">
        <x:v>Operational implementation begun</x:v>
      </x:c>
      <x:c r="G35" s="82" t="str">
        <x:v>Not yet measurable</x:v>
      </x:c>
      <x:c r="H35" s="99" t="n">
        <x:v>45820.5</x:v>
      </x:c>
      <x:c r="I35" s="82" t="str">
        <x:v>The Road Ahead rolling infrastructure plan cited as delivery.</x:v>
      </x:c>
      <x:c r="J35" s="82" t="str">
        <x:v>https://www2.gnb.ca/content/gnb/en/corporate/promo/government-priorities/economic-development.html</x:v>
      </x:c>
      <x:c r="K35" s="82"/>
      <x:c r="L35" s="82" t="str">
        <x:v>Not specified</x:v>
      </x:c>
      <x:c r="M35" s="82" t="str">
        <x:v>No verified material redesign</x:v>
      </x:c>
      <x:c r="N35" s="82" t="str">
        <x:v>Moderate</x:v>
      </x:c>
      <x:c r="O35" s="96" t="b">
        <x:v>0</x:v>
      </x:c>
      <x:c r="P35" s="82"/>
    </x:row>
    <x:row r="36">
      <x:c r="A36" s="82" t="str">
        <x:v>PLAT-EDU-031-01</x:v>
      </x:c>
      <x:c r="B36" s="82" t="str">
        <x:v>HOLT-2024-P030</x:v>
      </x:c>
      <x:c r="C36" s="82" t="str">
        <x:v>Education</x:v>
      </x:c>
      <x:c r="D36" s="82" t="str">
        <x:v>Retain and recruit teachers, support professionals, educational assistants, and bus drivers, leading to a better environment for all education professionals. We will:</x:v>
      </x:c>
      <x:c r="E36" s="82" t="str">
        <x:v>IN PROGRESS</x:v>
      </x:c>
      <x:c r="F36" s="82" t="str">
        <x:v>Operational implementation begun</x:v>
      </x:c>
      <x:c r="G36" s="82" t="str">
        <x:v>Not yet measurable</x:v>
      </x:c>
      <x:c r="H36" s="99" t="n">
        <x:v>45992.5</x:v>
      </x:c>
      <x:c r="I36" s="82" t="str">
        <x:v>Education retention and recruitment strategy released.</x:v>
      </x:c>
      <x:c r="J36" s="82" t="str">
        <x:v>https://www2.gnb.ca/content/gnb/en/corporate/promo/government-priorities/education.html</x:v>
      </x:c>
      <x:c r="K36" s="82"/>
      <x:c r="L36" s="82" t="str">
        <x:v>Not specified</x:v>
      </x:c>
      <x:c r="M36" s="82" t="str">
        <x:v>No verified material redesign</x:v>
      </x:c>
      <x:c r="N36" s="82" t="str">
        <x:v>Moderate</x:v>
      </x:c>
      <x:c r="O36" s="96" t="b">
        <x:v>0</x:v>
      </x:c>
      <x:c r="P36" s="82"/>
    </x:row>
    <x:row r="37">
      <x:c r="A37" s="82" t="str">
        <x:v>PLAT-EDU-031-02</x:v>
      </x:c>
      <x:c r="B37" s="82" t="str">
        <x:v>HOLT-2024-P031</x:v>
      </x:c>
      <x:c r="C37" s="82" t="str">
        <x:v>Education</x:v>
      </x:c>
      <x:c r="D37" s="82" t="str">
        <x:v>Improve working conditions for all education professionals, prioritizing support and wellness.</x:v>
      </x:c>
      <x:c r="E37" s="82" t="str">
        <x:v>IN PROGRESS</x:v>
      </x:c>
      <x:c r="F37" s="82" t="str">
        <x:v>Operational implementation begun</x:v>
      </x:c>
      <x:c r="G37" s="82" t="str">
        <x:v>Not yet measurable</x:v>
      </x:c>
      <x:c r="H37" s="99" t="n">
        <x:v>45992.5</x:v>
      </x:c>
      <x:c r="I37" s="82" t="str">
        <x:v>Education retention and recruitment strategy released.</x:v>
      </x:c>
      <x:c r="J37" s="82" t="str">
        <x:v>https://www2.gnb.ca/content/gnb/en/corporate/promo/government-priorities/education.html</x:v>
      </x:c>
      <x:c r="K37" s="82"/>
      <x:c r="L37" s="82" t="str">
        <x:v>Not specified</x:v>
      </x:c>
      <x:c r="M37" s="82" t="str">
        <x:v>No verified material redesign</x:v>
      </x:c>
      <x:c r="N37" s="82" t="str">
        <x:v>Moderate</x:v>
      </x:c>
      <x:c r="O37" s="96" t="b">
        <x:v>0</x:v>
      </x:c>
      <x:c r="P37" s="82"/>
    </x:row>
    <x:row r="38">
      <x:c r="A38" s="82" t="str">
        <x:v>PLAT-EDU-031-03</x:v>
      </x:c>
      <x:c r="B38" s="82" t="str">
        <x:v>HOLT-2024-P032</x:v>
      </x:c>
      <x:c r="C38" s="82" t="str">
        <x:v>Education</x:v>
      </x:c>
      <x:c r="D38" s="82" t="str">
        <x:v>Increase financial support for those entering education professions.</x:v>
      </x:c>
      <x:c r="E38" s="82" t="str">
        <x:v>IN PROGRESS</x:v>
      </x:c>
      <x:c r="F38" s="82" t="str">
        <x:v>Operational implementation begun</x:v>
      </x:c>
      <x:c r="G38" s="82" t="str">
        <x:v>Not yet measurable</x:v>
      </x:c>
      <x:c r="H38" s="99" t="n">
        <x:v>45992.5</x:v>
      </x:c>
      <x:c r="I38" s="82" t="str">
        <x:v>Education retention and recruitment strategy released.</x:v>
      </x:c>
      <x:c r="J38" s="82" t="str">
        <x:v>https://www2.gnb.ca/content/gnb/en/corporate/promo/government-priorities/education.html</x:v>
      </x:c>
      <x:c r="K38" s="82"/>
      <x:c r="L38" s="82" t="str">
        <x:v>Not specified</x:v>
      </x:c>
      <x:c r="M38" s="82" t="str">
        <x:v>No verified material redesign</x:v>
      </x:c>
      <x:c r="N38" s="82" t="str">
        <x:v>Moderate</x:v>
      </x:c>
      <x:c r="O38" s="96" t="b">
        <x:v>0</x:v>
      </x:c>
      <x:c r="P38" s="82"/>
    </x:row>
    <x:row r="39">
      <x:c r="A39" s="82" t="str">
        <x:v>PLAT-EDU-032-01</x:v>
      </x:c>
      <x:c r="B39" s="82" t="str">
        <x:v>HOLT-2024-P033</x:v>
      </x:c>
      <x:c r="C39" s="82" t="str">
        <x:v>Education</x:v>
      </x:c>
      <x:c r="D39" s="82" t="str">
        <x:v>Develop a fresh 10-year plan with teachers and other education professionals professionals, experts, and parents to set a collective vision for education.</x:v>
      </x:c>
      <x:c r="E39" s="82" t="str">
        <x:v>COMPLETE</x:v>
      </x:c>
      <x:c r="F39" s="82" t="str">
        <x:v>Design or consultation</x:v>
      </x:c>
      <x:c r="G39" s="82" t="str">
        <x:v>Not yet measurable</x:v>
      </x:c>
      <x:c r="H39" s="99" t="n">
        <x:v>46185.5</x:v>
      </x:c>
      <x:c r="I39" s="82" t="str">
        <x:v>Ten-year plans released for both education sectors.</x:v>
      </x:c>
      <x:c r="J39" s="82" t="str">
        <x:v>https://www2.gnb.ca/content/gnb/en/corporate/promo/government-priorities/education.html</x:v>
      </x:c>
      <x:c r="K39" s="82"/>
      <x:c r="L39" s="82" t="str">
        <x:v>Not specified</x:v>
      </x:c>
      <x:c r="M39" s="82" t="str">
        <x:v>No verified material redesign</x:v>
      </x:c>
      <x:c r="N39" s="82" t="str">
        <x:v>Moderate</x:v>
      </x:c>
      <x:c r="O39" s="96" t="b">
        <x:v>0</x:v>
      </x:c>
      <x:c r="P39" s="82"/>
    </x:row>
    <x:row r="40">
      <x:c r="A40" s="82" t="str">
        <x:v>PLAT-EDU-033-01</x:v>
      </x:c>
      <x:c r="B40" s="82" t="str">
        <x:v>HOLT-2024-P034</x:v>
      </x:c>
      <x:c r="C40" s="82" t="str">
        <x:v>Education</x:v>
      </x:c>
      <x:c r="D40" s="82" t="str">
        <x:v>Support inclusive education for all students by reviewing class composition and identifying and filling the staffing, training, and resourcing gaps impacting the effective implementation of Policy 322.</x:v>
      </x:c>
      <x:c r="E40" s="82" t="str">
        <x:v>NO PUBLIC TRACKER STATUS</x:v>
      </x:c>
      <x:c r="F40" s="82" t="str">
        <x:v>Not verifiable</x:v>
      </x:c>
      <x:c r="G40" s="82" t="str">
        <x:v>Not yet measurable</x:v>
      </x:c>
      <x:c r="H40" s="99"/>
      <x:c r="I40" s="82" t="str">
        <x:v>No model-grade implementation evidence located by cutoff.</x:v>
      </x:c>
      <x:c r="J40" s="82" t="str">
        <x:v>https://nbliberal.ca/platform/</x:v>
      </x:c>
      <x:c r="K40" s="82"/>
      <x:c r="L40" s="82" t="str">
        <x:v>Not specified</x:v>
      </x:c>
      <x:c r="M40" s="82" t="str">
        <x:v>No verified material redesign</x:v>
      </x:c>
      <x:c r="N40" s="82" t="str">
        <x:v>Low / unobserved</x:v>
      </x:c>
      <x:c r="O40" s="96" t="b">
        <x:v>0</x:v>
      </x:c>
      <x:c r="P40" s="82"/>
    </x:row>
    <x:row r="41">
      <x:c r="A41" s="82" t="str">
        <x:v>PLAT-EDU-034-01</x:v>
      </x:c>
      <x:c r="B41" s="82" t="str">
        <x:v>HOLT-2024-P035</x:v>
      </x:c>
      <x:c r="C41" s="82" t="str">
        <x:v>Education</x:v>
      </x:c>
      <x:c r="D41" s="82" t="str">
        <x:v>Provide nutritious universal free breakfast to all New Brunswick students, leveraging local New Brunswick food where possible.</x:v>
      </x:c>
      <x:c r="E41" s="82" t="str">
        <x:v>COMPLETE</x:v>
      </x:c>
      <x:c r="F41" s="82" t="str">
        <x:v>Fully operational at the promised scale</x:v>
      </x:c>
      <x:c r="G41" s="82" t="str">
        <x:v>Universal breakfast access reported from September 2025</x:v>
      </x:c>
      <x:c r="H41" s="99" t="n">
        <x:v>45903.5</x:v>
      </x:c>
      <x:c r="I41" s="82" t="str">
        <x:v>Breakfast offered in all schools through Feed NB partnership. Participation and nutrition outcomes are not published.</x:v>
      </x:c>
      <x:c r="J41" s="82" t="str">
        <x:v>https://www.gnb.ca/en/news/n-b.2025.09.government-to-provide-free-nutritious-breakfast-to-all-new-brunswick-students.html</x:v>
      </x:c>
      <x:c r="K41" s="82" t="str">
        <x:v>2025-26 school year</x:v>
      </x:c>
      <x:c r="L41" s="82" t="str">
        <x:v>Delivered</x:v>
      </x:c>
      <x:c r="M41" s="82" t="str">
        <x:v>No verified material redesign</x:v>
      </x:c>
      <x:c r="N41" s="82" t="str">
        <x:v>Moderate</x:v>
      </x:c>
      <x:c r="O41" s="96" t="b">
        <x:v>0</x:v>
      </x:c>
      <x:c r="P41" s="82"/>
    </x:row>
    <x:row r="42">
      <x:c r="A42" s="82" t="str">
        <x:v>PLAT-EDU-034-02</x:v>
      </x:c>
      <x:c r="B42" s="82" t="str">
        <x:v>HOLT-2024-P036</x:v>
      </x:c>
      <x:c r="C42" s="82" t="str">
        <x:v>Education</x:v>
      </x:c>
      <x:c r="D42" s="82" t="str">
        <x:v>Provide pay-what-you-can lunches to all New Brunswick students, leveraging local New Brunswick food where possible.</x:v>
      </x:c>
      <x:c r="E42" s="82" t="str">
        <x:v>IN PROGRESS</x:v>
      </x:c>
      <x:c r="F42" s="82" t="str">
        <x:v>Funding appropriated</x:v>
      </x:c>
      <x:c r="G42" s="82" t="str">
        <x:v>Launch announced for September 2026; no cutoff-date reach data</x:v>
      </x:c>
      <x:c r="H42" s="99" t="n">
        <x:v>46174.5</x:v>
      </x:c>
      <x:c r="I42" s="82" t="str">
        <x:v>$26 million budgeted; launch scheduled for September 2026, after the evidence cutoff.</x:v>
      </x:c>
      <x:c r="J42" s="82" t="str">
        <x:v>https://www.gnb.ca/en/news/n-b.2026.06.pay-what-you-can-school-lunch-program-tobegin-inseptember.html</x:v>
      </x:c>
      <x:c r="K42" s="82" t="str">
        <x:v>2025-26 school year in election-costing assumption</x:v>
      </x:c>
      <x:c r="L42" s="82" t="str">
        <x:v>Approximately one school year later than the costing assumption</x:v>
      </x:c>
      <x:c r="M42" s="82" t="str">
        <x:v>No verified material redesign</x:v>
      </x:c>
      <x:c r="N42" s="82" t="str">
        <x:v>Moderate</x:v>
      </x:c>
      <x:c r="O42" s="96" t="b">
        <x:v>0</x:v>
      </x:c>
      <x:c r="P42" s="82"/>
    </x:row>
    <x:row r="43">
      <x:c r="A43" s="82" t="str">
        <x:v>PLAT-EDU-035-01</x:v>
      </x:c>
      <x:c r="B43" s="82" t="str">
        <x:v>HOLT-2024-P037</x:v>
      </x:c>
      <x:c r="C43" s="82" t="str">
        <x:v>Education</x:v>
      </x:c>
      <x:c r="D43" s="82" t="str">
        <x:v>Ensure schools have adequate staffing, spaces, and resources to provide classroom support in literacy, numeracy, and learning behaviours, which will provide students with more small group or one-on-one practice.</x:v>
      </x:c>
      <x:c r="E43" s="82" t="str">
        <x:v>IN PROGRESS</x:v>
      </x:c>
      <x:c r="F43" s="82" t="str">
        <x:v>Operational implementation begun</x:v>
      </x:c>
      <x:c r="G43" s="82" t="str">
        <x:v>Not yet measurable</x:v>
      </x:c>
      <x:c r="H43" s="99" t="n">
        <x:v>45775.5</x:v>
      </x:c>
      <x:c r="I43" s="82" t="str">
        <x:v>Classroom investments announced; reach and outcome effects not isolated.</x:v>
      </x:c>
      <x:c r="J43" s="82" t="str">
        <x:v>https://www2.gnb.ca/content/gnb/en/corporate/promo/government-priorities/education.html</x:v>
      </x:c>
      <x:c r="K43" s="82"/>
      <x:c r="L43" s="82" t="str">
        <x:v>Not specified</x:v>
      </x:c>
      <x:c r="M43" s="82" t="str">
        <x:v>No verified material redesign</x:v>
      </x:c>
      <x:c r="N43" s="82" t="str">
        <x:v>Moderate</x:v>
      </x:c>
      <x:c r="O43" s="96" t="b">
        <x:v>0</x:v>
      </x:c>
      <x:c r="P43" s="82"/>
    </x:row>
    <x:row r="44">
      <x:c r="A44" s="82" t="str">
        <x:v>PLAT-EDU-036-01</x:v>
      </x:c>
      <x:c r="B44" s="82" t="str">
        <x:v>HOLT-2024-P038</x:v>
      </x:c>
      <x:c r="C44" s="82" t="str">
        <x:v>Education</x:v>
      </x:c>
      <x:c r="D44" s="82" t="str">
        <x:v>Provide staff and students with the necessary tools to create a positive learning environment while properly utilizing personal electronic devices and other technologies.</x:v>
      </x:c>
      <x:c r="E44" s="82" t="str">
        <x:v>NO PUBLIC TRACKER STATUS</x:v>
      </x:c>
      <x:c r="F44" s="82" t="str">
        <x:v>Not verifiable</x:v>
      </x:c>
      <x:c r="G44" s="82" t="str">
        <x:v>Not yet measurable</x:v>
      </x:c>
      <x:c r="H44" s="99"/>
      <x:c r="I44" s="82" t="str">
        <x:v>No model-grade implementation evidence located by cutoff.</x:v>
      </x:c>
      <x:c r="J44" s="82" t="str">
        <x:v>https://nbliberal.ca/platform/</x:v>
      </x:c>
      <x:c r="K44" s="82"/>
      <x:c r="L44" s="82" t="str">
        <x:v>Not specified</x:v>
      </x:c>
      <x:c r="M44" s="82" t="str">
        <x:v>No verified material redesign</x:v>
      </x:c>
      <x:c r="N44" s="82" t="str">
        <x:v>Low / unobserved</x:v>
      </x:c>
      <x:c r="O44" s="96" t="b">
        <x:v>0</x:v>
      </x:c>
      <x:c r="P44" s="82"/>
    </x:row>
    <x:row r="45">
      <x:c r="A45" s="82" t="str">
        <x:v>PLAT-EDU-037-01</x:v>
      </x:c>
      <x:c r="B45" s="82" t="str">
        <x:v>HOLT-2024-P039</x:v>
      </x:c>
      <x:c r="C45" s="82" t="str">
        <x:v>Education</x:v>
      </x:c>
      <x:c r="D45" s="82" t="str">
        <x:v>Continue grade one early French immersion and expand access points for grade six entry.</x:v>
      </x:c>
      <x:c r="E45" s="82" t="str">
        <x:v>IN PROGRESS</x:v>
      </x:c>
      <x:c r="F45" s="82" t="str">
        <x:v>Legislation or authority established</x:v>
      </x:c>
      <x:c r="G45" s="82" t="str">
        <x:v>Not yet measurable</x:v>
      </x:c>
      <x:c r="H45" s="99" t="n">
        <x:v>45839.5</x:v>
      </x:c>
      <x:c r="I45" s="82" t="str">
        <x:v>Policy 309 revised to retain grade-one immersion and broaden grade-six entry.</x:v>
      </x:c>
      <x:c r="J45" s="82" t="str">
        <x:v>https://www2.gnb.ca/content/gnb/en/corporate/promo/government-priorities/education.html</x:v>
      </x:c>
      <x:c r="K45" s="82"/>
      <x:c r="L45" s="82" t="str">
        <x:v>Not specified</x:v>
      </x:c>
      <x:c r="M45" s="82" t="str">
        <x:v>No verified material redesign</x:v>
      </x:c>
      <x:c r="N45" s="82" t="str">
        <x:v>Moderate</x:v>
      </x:c>
      <x:c r="O45" s="96" t="b">
        <x:v>0</x:v>
      </x:c>
      <x:c r="P45" s="82"/>
    </x:row>
    <x:row r="46">
      <x:c r="A46" s="82" t="str">
        <x:v>PLAT-EDU-038-01</x:v>
      </x:c>
      <x:c r="B46" s="82" t="str">
        <x:v>HOLT-2024-P040</x:v>
      </x:c>
      <x:c r="C46" s="82" t="str">
        <x:v>Education</x:v>
      </x:c>
      <x:c r="D46" s="82" t="str">
        <x:v>Retain Early Childhood Educators (ECEs) by improving working conditions and increasing wages.</x:v>
      </x:c>
      <x:c r="E46" s="82" t="str">
        <x:v>IN PROGRESS</x:v>
      </x:c>
      <x:c r="F46" s="82" t="str">
        <x:v>Funding appropriated</x:v>
      </x:c>
      <x:c r="G46" s="82" t="str">
        <x:v>Not yet measurable</x:v>
      </x:c>
      <x:c r="H46" s="99" t="n">
        <x:v>45877.5</x:v>
      </x:c>
      <x:c r="I46" s="82" t="str">
        <x:v>$7.24 million added a fourth ECE wage-grid step.</x:v>
      </x:c>
      <x:c r="J46" s="82" t="str">
        <x:v>https://www2.gnb.ca/content/gnb/en/corporate/promo/government-priorities/education.html</x:v>
      </x:c>
      <x:c r="K46" s="82"/>
      <x:c r="L46" s="82" t="str">
        <x:v>Not specified</x:v>
      </x:c>
      <x:c r="M46" s="82" t="str">
        <x:v>No verified material redesign</x:v>
      </x:c>
      <x:c r="N46" s="82" t="str">
        <x:v>Moderate</x:v>
      </x:c>
      <x:c r="O46" s="96" t="b">
        <x:v>0</x:v>
      </x:c>
      <x:c r="P46" s="82"/>
    </x:row>
    <x:row r="47">
      <x:c r="A47" s="82" t="str">
        <x:v>PLAT-EDU-039-01</x:v>
      </x:c>
      <x:c r="B47" s="82" t="str">
        <x:v>HOLT-2024-P041</x:v>
      </x:c>
      <x:c r="C47" s="82" t="str">
        <x:v>Education</x:v>
      </x:c>
      <x:c r="D47" s="82" t="str">
        <x:v>Increase financial support for ECE students.</x:v>
      </x:c>
      <x:c r="E47" s="82" t="str">
        <x:v>NO PUBLIC TRACKER STATUS</x:v>
      </x:c>
      <x:c r="F47" s="82" t="str">
        <x:v>Not verifiable</x:v>
      </x:c>
      <x:c r="G47" s="82" t="str">
        <x:v>Not yet measurable</x:v>
      </x:c>
      <x:c r="H47" s="99"/>
      <x:c r="I47" s="82" t="str">
        <x:v>No model-grade implementation evidence located by cutoff.</x:v>
      </x:c>
      <x:c r="J47" s="82" t="str">
        <x:v>https://nbliberal.ca/platform/</x:v>
      </x:c>
      <x:c r="K47" s="82"/>
      <x:c r="L47" s="82" t="str">
        <x:v>Not specified</x:v>
      </x:c>
      <x:c r="M47" s="82" t="str">
        <x:v>No verified material redesign</x:v>
      </x:c>
      <x:c r="N47" s="82" t="str">
        <x:v>Low / unobserved</x:v>
      </x:c>
      <x:c r="O47" s="96" t="b">
        <x:v>0</x:v>
      </x:c>
      <x:c r="P47" s="82"/>
    </x:row>
    <x:row r="48">
      <x:c r="A48" s="82" t="str">
        <x:v>PLAT-EDU-040-01</x:v>
      </x:c>
      <x:c r="B48" s="82" t="str">
        <x:v>HOLT-2024-P042</x:v>
      </x:c>
      <x:c r="C48" s="82" t="str">
        <x:v>Education</x:v>
      </x:c>
      <x:c r="D48" s="82" t="str">
        <x:v>Continue implementing $10-a-day childcare across the province, making it more accessible.</x:v>
      </x:c>
      <x:c r="E48" s="82" t="str">
        <x:v>IN PROGRESS</x:v>
      </x:c>
      <x:c r="F48" s="82" t="str">
        <x:v>Funding appropriated</x:v>
      </x:c>
      <x:c r="G48" s="82" t="str">
        <x:v>Not yet measurable</x:v>
      </x:c>
      <x:c r="H48" s="99" t="n">
        <x:v>45727.5</x:v>
      </x:c>
      <x:c r="I48" s="82" t="str">
        <x:v>$200 million over five years extended child-care agreements.</x:v>
      </x:c>
      <x:c r="J48" s="82" t="str">
        <x:v>https://www2.gnb.ca/content/gnb/en/corporate/promo/government-priorities/education.html</x:v>
      </x:c>
      <x:c r="K48" s="82"/>
      <x:c r="L48" s="82" t="str">
        <x:v>Not specified</x:v>
      </x:c>
      <x:c r="M48" s="82" t="str">
        <x:v>No verified material redesign</x:v>
      </x:c>
      <x:c r="N48" s="82" t="str">
        <x:v>Moderate</x:v>
      </x:c>
      <x:c r="O48" s="96" t="b">
        <x:v>0</x:v>
      </x:c>
      <x:c r="P48" s="82"/>
    </x:row>
    <x:row r="49">
      <x:c r="A49" s="82" t="str">
        <x:v>PLAT-EDU-041-01</x:v>
      </x:c>
      <x:c r="B49" s="82" t="str">
        <x:v>HOLT-2024-P043</x:v>
      </x:c>
      <x:c r="C49" s="82" t="str">
        <x:v>Education</x:v>
      </x:c>
      <x:c r="D49" s="82" t="str">
        <x:v>Reduce the administrative and regulatory burden on childcare operators to enhance their ability to provide the best care possible for children.</x:v>
      </x:c>
      <x:c r="E49" s="82" t="str">
        <x:v>IN PROGRESS</x:v>
      </x:c>
      <x:c r="F49" s="82" t="str">
        <x:v>Legislation or authority established</x:v>
      </x:c>
      <x:c r="G49" s="82" t="str">
        <x:v>Not yet measurable</x:v>
      </x:c>
      <x:c r="H49" s="99" t="n">
        <x:v>46185.5</x:v>
      </x:c>
      <x:c r="I49" s="82" t="str">
        <x:v>Legislation introduced to streamline facility licensing.</x:v>
      </x:c>
      <x:c r="J49" s="82" t="str">
        <x:v>https://www2.gnb.ca/content/gnb/en/corporate/promo/government-priorities/education.html</x:v>
      </x:c>
      <x:c r="K49" s="82"/>
      <x:c r="L49" s="82" t="str">
        <x:v>Not specified</x:v>
      </x:c>
      <x:c r="M49" s="82" t="str">
        <x:v>No verified material redesign</x:v>
      </x:c>
      <x:c r="N49" s="82" t="str">
        <x:v>Moderate</x:v>
      </x:c>
      <x:c r="O49" s="96" t="b">
        <x:v>0</x:v>
      </x:c>
      <x:c r="P49" s="82"/>
    </x:row>
    <x:row r="50">
      <x:c r="A50" s="82" t="str">
        <x:v>PLAT-EDU-042-01</x:v>
      </x:c>
      <x:c r="B50" s="82" t="str">
        <x:v>HOLT-2024-P044</x:v>
      </x:c>
      <x:c r="C50" s="82" t="str">
        <x:v>Education</x:v>
      </x:c>
      <x:c r="D50" s="82" t="str">
        <x:v>Work with universities and colleges to develop long-term strategies for student housing.</x:v>
      </x:c>
      <x:c r="E50" s="82" t="str">
        <x:v>IN PROGRESS</x:v>
      </x:c>
      <x:c r="F50" s="82" t="str">
        <x:v>Funding appropriated</x:v>
      </x:c>
      <x:c r="G50" s="82" t="str">
        <x:v>Not yet measurable</x:v>
      </x:c>
      <x:c r="H50" s="99" t="n">
        <x:v>45748.5</x:v>
      </x:c>
      <x:c r="I50" s="82" t="str">
        <x:v>$1.1 million supported student-housing plans at UdeM and UNB.</x:v>
      </x:c>
      <x:c r="J50" s="82" t="str">
        <x:v>https://www2.gnb.ca/content/gnb/en/corporate/promo/government-priorities/education.html</x:v>
      </x:c>
      <x:c r="K50" s="82"/>
      <x:c r="L50" s="82" t="str">
        <x:v>Not specified</x:v>
      </x:c>
      <x:c r="M50" s="82" t="str">
        <x:v>No verified material redesign</x:v>
      </x:c>
      <x:c r="N50" s="82" t="str">
        <x:v>Moderate</x:v>
      </x:c>
      <x:c r="O50" s="96" t="b">
        <x:v>0</x:v>
      </x:c>
      <x:c r="P50" s="82"/>
    </x:row>
    <x:row r="51">
      <x:c r="A51" s="82" t="str">
        <x:v>PLAT-EDU-043-01</x:v>
      </x:c>
      <x:c r="B51" s="82" t="str">
        <x:v>HOLT-2024-P045</x:v>
      </x:c>
      <x:c r="C51" s="82" t="str">
        <x:v>Education</x:v>
      </x:c>
      <x:c r="D51" s="82" t="str">
        <x:v>Continue to make provincial student loans interest-free.</x:v>
      </x:c>
      <x:c r="E51" s="82" t="str">
        <x:v>COMPLETE</x:v>
      </x:c>
      <x:c r="F51" s="82" t="str">
        <x:v>Fully operational at the promised scale</x:v>
      </x:c>
      <x:c r="G51" s="82" t="str">
        <x:v>Operational output verified; effectiveness may remain untested</x:v>
      </x:c>
      <x:c r="H51" s="99" t="n">
        <x:v>46185.5</x:v>
      </x:c>
      <x:c r="I51" s="82" t="str">
        <x:v>Provincial student loans continue at zero interest.</x:v>
      </x:c>
      <x:c r="J51" s="82" t="str">
        <x:v>https://www2.gnb.ca/content/gnb/en/corporate/promo/government-priorities/education.html</x:v>
      </x:c>
      <x:c r="K51" s="82"/>
      <x:c r="L51" s="82" t="str">
        <x:v>Not specified</x:v>
      </x:c>
      <x:c r="M51" s="82" t="str">
        <x:v>No verified material redesign</x:v>
      </x:c>
      <x:c r="N51" s="82" t="str">
        <x:v>Moderate</x:v>
      </x:c>
      <x:c r="O51" s="96" t="b">
        <x:v>0</x:v>
      </x:c>
      <x:c r="P51" s="82"/>
    </x:row>
    <x:row r="52">
      <x:c r="A52" s="82" t="str">
        <x:v>PLAT-EDU-044-01</x:v>
      </x:c>
      <x:c r="B52" s="82" t="str">
        <x:v>HOLT-2024-P016</x:v>
      </x:c>
      <x:c r="C52" s="82" t="str">
        <x:v>Education</x:v>
      </x:c>
      <x:c r="D52" s="82" t="str">
        <x:v>Provide additional grants for students studying to work in high-priority fields (see economic development).</x:v>
      </x:c>
      <x:c r="E52" s="82" t="str">
        <x:v>DUPLICATE / CROSS-REFERENCE</x:v>
      </x:c>
      <x:c r="F52" s="82" t="str">
        <x:v>Not applicable - duplicate</x:v>
      </x:c>
      <x:c r="G52" s="82" t="str">
        <x:v>Not double-counted</x:v>
      </x:c>
      <x:c r="H52" s="99"/>
      <x:c r="I52" s="82" t="str">
        <x:v>Repeated or cross-referenced platform commitment.</x:v>
      </x:c>
      <x:c r="J52" s="82" t="str">
        <x:v>https://nbliberal.ca/platform/</x:v>
      </x:c>
      <x:c r="K52" s="82"/>
      <x:c r="L52" s="82"/>
      <x:c r="M52" s="82"/>
      <x:c r="N52" s="82" t="str">
        <x:v>High</x:v>
      </x:c>
      <x:c r="O52" s="96" t="b">
        <x:v>1</x:v>
      </x:c>
      <x:c r="P52" s="82" t="str">
        <x:v>HOLT-2024-P016</x:v>
      </x:c>
    </x:row>
    <x:row r="53">
      <x:c r="A53" s="82" t="str">
        <x:v>PLAT-ENV-045-01</x:v>
      </x:c>
      <x:c r="B53" s="82" t="str">
        <x:v>HOLT-2024-P046</x:v>
      </x:c>
      <x:c r="C53" s="82" t="str">
        <x:v>Environment</x:v>
      </x:c>
      <x:c r="D53" s="82" t="str">
        <x:v>Update the Clean Air Act and Clean Water Act to guarantee that everyone in New Brunswick has the right to clean air and water.</x:v>
      </x:c>
      <x:c r="E53" s="82" t="str">
        <x:v>IN PROGRESS</x:v>
      </x:c>
      <x:c r="F53" s="82" t="str">
        <x:v>Design or consultation</x:v>
      </x:c>
      <x:c r="G53" s="82" t="str">
        <x:v>Not yet measurable</x:v>
      </x:c>
      <x:c r="H53" s="99" t="n">
        <x:v>46185.5</x:v>
      </x:c>
      <x:c r="I53" s="82" t="str">
        <x:v>Public consultations on Clean Air and Clean Water Acts; outcome not yet enacted.</x:v>
      </x:c>
      <x:c r="J53" s="82" t="str">
        <x:v>https://www2.gnb.ca/content/gnb/en/corporate/promo/government-priorities/environment.html</x:v>
      </x:c>
      <x:c r="K53" s="82"/>
      <x:c r="L53" s="82" t="str">
        <x:v>Not specified</x:v>
      </x:c>
      <x:c r="M53" s="82" t="str">
        <x:v>No verified material redesign</x:v>
      </x:c>
      <x:c r="N53" s="82" t="str">
        <x:v>Moderate</x:v>
      </x:c>
      <x:c r="O53" s="96" t="b">
        <x:v>0</x:v>
      </x:c>
      <x:c r="P53" s="82"/>
    </x:row>
    <x:row r="54">
      <x:c r="A54" s="82" t="str">
        <x:v>PLAT-ENV-045-02</x:v>
      </x:c>
      <x:c r="B54" s="82" t="str">
        <x:v>HOLT-2024-P047</x:v>
      </x:c>
      <x:c r="C54" s="82" t="str">
        <x:v>Environment</x:v>
      </x:c>
      <x:c r="D54" s="82" t="str">
        <x:v>Our government will require that all new schools, hospitals, long-term care homes, and other public buildings have modern air filtration, heating, and cooling systems, following ASHRAE 241. For existing infrastructure, we will add suitable air filtration and cooling units.</x:v>
      </x:c>
      <x:c r="E54" s="82" t="str">
        <x:v>IN PROGRESS</x:v>
      </x:c>
      <x:c r="F54" s="82" t="str">
        <x:v>Design or consultation</x:v>
      </x:c>
      <x:c r="G54" s="82" t="str">
        <x:v>Not yet measurable</x:v>
      </x:c>
      <x:c r="H54" s="99" t="n">
        <x:v>46185.5</x:v>
      </x:c>
      <x:c r="I54" s="82" t="str">
        <x:v>Public consultations on Clean Air and Clean Water Acts; outcome not yet enacted.</x:v>
      </x:c>
      <x:c r="J54" s="82" t="str">
        <x:v>https://www2.gnb.ca/content/gnb/en/corporate/promo/government-priorities/environment.html</x:v>
      </x:c>
      <x:c r="K54" s="82"/>
      <x:c r="L54" s="82" t="str">
        <x:v>Not specified</x:v>
      </x:c>
      <x:c r="M54" s="82" t="str">
        <x:v>No verified material redesign</x:v>
      </x:c>
      <x:c r="N54" s="82" t="str">
        <x:v>Moderate</x:v>
      </x:c>
      <x:c r="O54" s="96" t="b">
        <x:v>0</x:v>
      </x:c>
      <x:c r="P54" s="82"/>
    </x:row>
    <x:row r="55">
      <x:c r="A55" s="82" t="str">
        <x:v>PLAT-ENV-046-01</x:v>
      </x:c>
      <x:c r="B55" s="82" t="str">
        <x:v>HOLT-2024-P048</x:v>
      </x:c>
      <x:c r="C55" s="82" t="str">
        <x:v>Environment</x:v>
      </x:c>
      <x:c r="D55" s="82" t="str">
        <x:v>Provide New Brunswick residents 25% off the cost of provincial park passes to encourage exercise and spending time outdoors.</x:v>
      </x:c>
      <x:c r="E55" s="82" t="str">
        <x:v>COMPLETE</x:v>
      </x:c>
      <x:c r="F55" s="82" t="str">
        <x:v>Fully operational at the promised scale</x:v>
      </x:c>
      <x:c r="G55" s="82" t="str">
        <x:v>Operational output verified; effectiveness may remain untested</x:v>
      </x:c>
      <x:c r="H55" s="99" t="n">
        <x:v>45790.5</x:v>
      </x:c>
      <x:c r="I55" s="82" t="str">
        <x:v>25% resident discount on park passes announced and available.</x:v>
      </x:c>
      <x:c r="J55" s="82" t="str">
        <x:v>https://www2.gnb.ca/content/gnb/en/corporate/promo/government-priorities/environment.html</x:v>
      </x:c>
      <x:c r="K55" s="82"/>
      <x:c r="L55" s="82" t="str">
        <x:v>Not specified</x:v>
      </x:c>
      <x:c r="M55" s="82" t="str">
        <x:v>No verified material redesign</x:v>
      </x:c>
      <x:c r="N55" s="82" t="str">
        <x:v>Moderate</x:v>
      </x:c>
      <x:c r="O55" s="96" t="b">
        <x:v>0</x:v>
      </x:c>
      <x:c r="P55" s="82"/>
    </x:row>
    <x:row r="56">
      <x:c r="A56" s="82" t="str">
        <x:v>PLAT-ENV-047-01</x:v>
      </x:c>
      <x:c r="B56" s="82" t="str">
        <x:v>HOLT-2024-P049</x:v>
      </x:c>
      <x:c r="C56" s="82" t="str">
        <x:v>Environment</x:v>
      </x:c>
      <x:c r="D56" s="82" t="str">
        <x:v>Work with communities to increase active transportation infrastructure, including walking and cycling trails, to build healthier communities.</x:v>
      </x:c>
      <x:c r="E56" s="82" t="str">
        <x:v>IN PROGRESS</x:v>
      </x:c>
      <x:c r="F56" s="82" t="str">
        <x:v>Funding appropriated</x:v>
      </x:c>
      <x:c r="G56" s="82" t="str">
        <x:v>Not yet measurable</x:v>
      </x:c>
      <x:c r="H56" s="99"/>
      <x:c r="I56" s="82" t="str">
        <x:v>No model-grade implementation evidence located by cutoff.</x:v>
      </x:c>
      <x:c r="J56" s="82" t="str">
        <x:v>https://nbliberal.ca/platform/</x:v>
      </x:c>
      <x:c r="K56" s="82"/>
      <x:c r="L56" s="82" t="str">
        <x:v>Not specified</x:v>
      </x:c>
      <x:c r="M56" s="82" t="str">
        <x:v>No verified material redesign</x:v>
      </x:c>
      <x:c r="N56" s="82" t="str">
        <x:v>Moderate</x:v>
      </x:c>
      <x:c r="O56" s="96" t="b">
        <x:v>0</x:v>
      </x:c>
      <x:c r="P56" s="82"/>
    </x:row>
    <x:row r="57">
      <x:c r="A57" s="82" t="str">
        <x:v>PLAT-ENV-048-01</x:v>
      </x:c>
      <x:c r="B57" s="82" t="str">
        <x:v>HOLT-2024-P050</x:v>
      </x:c>
      <x:c r="C57" s="82" t="str">
        <x:v>Environment</x:v>
      </x:c>
      <x:c r="D57" s="82" t="str">
        <x:v>Increase support for home energy retrofits, free heat pump program, and introduce a provincial program for solar retrofits.</x:v>
      </x:c>
      <x:c r="E57" s="82" t="str">
        <x:v>IN PROGRESS</x:v>
      </x:c>
      <x:c r="F57" s="82" t="str">
        <x:v>Partially available to intended residents</x:v>
      </x:c>
      <x:c r="G57" s="82" t="str">
        <x:v>Not yet measurable</x:v>
      </x:c>
      <x:c r="H57" s="99" t="n">
        <x:v>45716.5</x:v>
      </x:c>
      <x:c r="I57" s="82" t="str">
        <x:v>Eligible homeowners can receive up to $15,000 in retrofit support; solar component not separately verified.</x:v>
      </x:c>
      <x:c r="J57" s="82" t="str">
        <x:v>https://www2.gnb.ca/content/gnb/en/corporate/promo/government-priorities/environment.html</x:v>
      </x:c>
      <x:c r="K57" s="82"/>
      <x:c r="L57" s="82" t="str">
        <x:v>Not specified</x:v>
      </x:c>
      <x:c r="M57" s="82" t="str">
        <x:v>No verified material redesign</x:v>
      </x:c>
      <x:c r="N57" s="82" t="str">
        <x:v>Moderate</x:v>
      </x:c>
      <x:c r="O57" s="96" t="b">
        <x:v>0</x:v>
      </x:c>
      <x:c r="P57" s="82"/>
    </x:row>
    <x:row r="58">
      <x:c r="A58" s="82" t="str">
        <x:v>PLAT-ENV-049-01</x:v>
      </x:c>
      <x:c r="B58" s="82" t="str">
        <x:v>HOLT-2024-P051</x:v>
      </x:c>
      <x:c r="C58" s="82" t="str">
        <x:v>Environment</x:v>
      </x:c>
      <x:c r="D58" s="82" t="str">
        <x:v>Ensure all government buildings are net zero and that our vehicle fleet, including school buses, are electrified by 2035.</x:v>
      </x:c>
      <x:c r="E58" s="82" t="str">
        <x:v>IN PROGRESS</x:v>
      </x:c>
      <x:c r="F58" s="82" t="str">
        <x:v>Operational implementation begun</x:v>
      </x:c>
      <x:c r="G58" s="82" t="str">
        <x:v>Not yet measurable</x:v>
      </x:c>
      <x:c r="H58" s="99" t="n">
        <x:v>46185.5</x:v>
      </x:c>
      <x:c r="I58" s="82" t="str">
        <x:v>Solar installation completed at Saint John Laundry; province-wide 2035 target remains distant.</x:v>
      </x:c>
      <x:c r="J58" s="82" t="str">
        <x:v>https://www2.gnb.ca/content/gnb/en/corporate/promo/government-priorities/environment.html</x:v>
      </x:c>
      <x:c r="K58" s="82"/>
      <x:c r="L58" s="82" t="str">
        <x:v>Not specified</x:v>
      </x:c>
      <x:c r="M58" s="82" t="str">
        <x:v>No verified material redesign</x:v>
      </x:c>
      <x:c r="N58" s="82" t="str">
        <x:v>Moderate</x:v>
      </x:c>
      <x:c r="O58" s="96" t="b">
        <x:v>0</x:v>
      </x:c>
      <x:c r="P58" s="82"/>
    </x:row>
    <x:row r="59">
      <x:c r="A59" s="82" t="str">
        <x:v>PLAT-ENV-050-01</x:v>
      </x:c>
      <x:c r="B59" s="82" t="str">
        <x:v>HOLT-2024-P052</x:v>
      </x:c>
      <x:c r="C59" s="82" t="str">
        <x:v>Environment</x:v>
      </x:c>
      <x:c r="D59" s="82" t="str">
        <x:v>Increase our conservation lands and waters from 10 percent to 15 percent and work with communities, First Nations, and experts to develop a plan to reach 30 percent.</x:v>
      </x:c>
      <x:c r="E59" s="82" t="str">
        <x:v>IN PROGRESS</x:v>
      </x:c>
      <x:c r="F59" s="82" t="str">
        <x:v>Design or consultation</x:v>
      </x:c>
      <x:c r="G59" s="82" t="str">
        <x:v>Not yet measurable</x:v>
      </x:c>
      <x:c r="H59" s="99"/>
      <x:c r="I59" s="82" t="str">
        <x:v>No model-grade implementation evidence located by cutoff.</x:v>
      </x:c>
      <x:c r="J59" s="82" t="str">
        <x:v>https://nbliberal.ca/platform/</x:v>
      </x:c>
      <x:c r="K59" s="82"/>
      <x:c r="L59" s="82" t="str">
        <x:v>Not specified</x:v>
      </x:c>
      <x:c r="M59" s="82" t="str">
        <x:v>No verified material redesign</x:v>
      </x:c>
      <x:c r="N59" s="82" t="str">
        <x:v>Moderate</x:v>
      </x:c>
      <x:c r="O59" s="96" t="b">
        <x:v>0</x:v>
      </x:c>
      <x:c r="P59" s="82"/>
    </x:row>
    <x:row r="60">
      <x:c r="A60" s="82" t="str">
        <x:v>PLAT-ENV-051-01</x:v>
      </x:c>
      <x:c r="B60" s="82" t="str">
        <x:v>HOLT-2024-P053</x:v>
      </x:c>
      <x:c r="C60" s="82" t="str">
        <x:v>Environment</x:v>
      </x:c>
      <x:c r="D60" s="82" t="str">
        <x:v>Review and update our emergency preparedness plan for dealing with the increasing number of extreme climate change-related weather events.</x:v>
      </x:c>
      <x:c r="E60" s="82" t="str">
        <x:v>IN PROGRESS</x:v>
      </x:c>
      <x:c r="F60" s="82" t="str">
        <x:v>Design or consultation</x:v>
      </x:c>
      <x:c r="G60" s="82" t="str">
        <x:v>Not yet measurable</x:v>
      </x:c>
      <x:c r="H60" s="99"/>
      <x:c r="I60" s="82" t="str">
        <x:v>No model-grade implementation evidence located by cutoff.</x:v>
      </x:c>
      <x:c r="J60" s="82" t="str">
        <x:v>https://nbliberal.ca/platform/</x:v>
      </x:c>
      <x:c r="K60" s="82"/>
      <x:c r="L60" s="82" t="str">
        <x:v>Not specified</x:v>
      </x:c>
      <x:c r="M60" s="82" t="str">
        <x:v>No verified material redesign</x:v>
      </x:c>
      <x:c r="N60" s="82" t="str">
        <x:v>Moderate</x:v>
      </x:c>
      <x:c r="O60" s="96" t="b">
        <x:v>0</x:v>
      </x:c>
      <x:c r="P60" s="82"/>
    </x:row>
    <x:row r="61">
      <x:c r="A61" s="82" t="str">
        <x:v>PLAT-ENV-052-01</x:v>
      </x:c>
      <x:c r="B61" s="82" t="str">
        <x:v>HOLT-2024-P054</x:v>
      </x:c>
      <x:c r="C61" s="82" t="str">
        <x:v>Environment</x:v>
      </x:c>
      <x:c r="D61" s="82" t="str">
        <x:v>Implement a coastal erosion plan to protect communities.</x:v>
      </x:c>
      <x:c r="E61" s="82" t="str">
        <x:v>IN PROGRESS</x:v>
      </x:c>
      <x:c r="F61" s="82" t="str">
        <x:v>Design or consultation</x:v>
      </x:c>
      <x:c r="G61" s="82" t="str">
        <x:v>Not yet measurable</x:v>
      </x:c>
      <x:c r="H61" s="99"/>
      <x:c r="I61" s="82" t="str">
        <x:v>No model-grade implementation evidence located by cutoff.</x:v>
      </x:c>
      <x:c r="J61" s="82" t="str">
        <x:v>https://nbliberal.ca/platform/</x:v>
      </x:c>
      <x:c r="K61" s="82"/>
      <x:c r="L61" s="82" t="str">
        <x:v>Not specified</x:v>
      </x:c>
      <x:c r="M61" s="82" t="str">
        <x:v>No verified material redesign</x:v>
      </x:c>
      <x:c r="N61" s="82" t="str">
        <x:v>Moderate</x:v>
      </x:c>
      <x:c r="O61" s="96" t="b">
        <x:v>0</x:v>
      </x:c>
      <x:c r="P61" s="82"/>
    </x:row>
    <x:row r="62">
      <x:c r="A62" s="82" t="str">
        <x:v>PLAT-ENV-053-01</x:v>
      </x:c>
      <x:c r="B62" s="82" t="str">
        <x:v>HOLT-2024-P055</x:v>
      </x:c>
      <x:c r="C62" s="82" t="str">
        <x:v>Environment</x:v>
      </x:c>
      <x:c r="D62" s="82" t="str">
        <x:v>Investigate alternatives to pesticide and herbicide use and re-evaluate the safety of glyphosate with new and comprehensive data specific to New Brunswick.</x:v>
      </x:c>
      <x:c r="E62" s="82" t="str">
        <x:v>NO PUBLIC TRACKER STATUS</x:v>
      </x:c>
      <x:c r="F62" s="82" t="str">
        <x:v>Not verifiable</x:v>
      </x:c>
      <x:c r="G62" s="82" t="str">
        <x:v>Not yet measurable</x:v>
      </x:c>
      <x:c r="H62" s="99"/>
      <x:c r="I62" s="82" t="str">
        <x:v>No model-grade implementation evidence located by cutoff.</x:v>
      </x:c>
      <x:c r="J62" s="82" t="str">
        <x:v>https://nbliberal.ca/platform/</x:v>
      </x:c>
      <x:c r="K62" s="82"/>
      <x:c r="L62" s="82" t="str">
        <x:v>Not specified</x:v>
      </x:c>
      <x:c r="M62" s="82" t="str">
        <x:v>No verified material redesign</x:v>
      </x:c>
      <x:c r="N62" s="82" t="str">
        <x:v>Low / unobserved</x:v>
      </x:c>
      <x:c r="O62" s="96" t="b">
        <x:v>0</x:v>
      </x:c>
      <x:c r="P62" s="82"/>
    </x:row>
    <x:row r="63">
      <x:c r="A63" s="82" t="str">
        <x:v>PLAT-ENV-054-01</x:v>
      </x:c>
      <x:c r="B63" s="82" t="str">
        <x:v>HOLT-2024-P056</x:v>
      </x:c>
      <x:c r="C63" s="82" t="str">
        <x:v>Environment</x:v>
      </x:c>
      <x:c r="D63" s="82" t="str">
        <x:v>Implement the recommendations of the Legislative Assembly’s all-party Standing Committee on Climate Change and Environmental Stewardship to increase restrictions on pesticide and herbicide use, including examining the banning of aerial spraying.</x:v>
      </x:c>
      <x:c r="E63" s="82" t="str">
        <x:v>NO PUBLIC TRACKER STATUS</x:v>
      </x:c>
      <x:c r="F63" s="82" t="str">
        <x:v>Not verifiable</x:v>
      </x:c>
      <x:c r="G63" s="82" t="str">
        <x:v>Not yet measurable</x:v>
      </x:c>
      <x:c r="H63" s="99"/>
      <x:c r="I63" s="82" t="str">
        <x:v>No model-grade implementation evidence located by cutoff.</x:v>
      </x:c>
      <x:c r="J63" s="82" t="str">
        <x:v>https://nbliberal.ca/platform/</x:v>
      </x:c>
      <x:c r="K63" s="82"/>
      <x:c r="L63" s="82" t="str">
        <x:v>Not specified</x:v>
      </x:c>
      <x:c r="M63" s="82" t="str">
        <x:v>No verified material redesign</x:v>
      </x:c>
      <x:c r="N63" s="82" t="str">
        <x:v>Low / unobserved</x:v>
      </x:c>
      <x:c r="O63" s="96" t="b">
        <x:v>0</x:v>
      </x:c>
      <x:c r="P63" s="82"/>
    </x:row>
    <x:row r="64">
      <x:c r="A64" s="82" t="str">
        <x:v>PLAT-HLT-055-01</x:v>
      </x:c>
      <x:c r="B64" s="82" t="str">
        <x:v>HOLT-2024-P057</x:v>
      </x:c>
      <x:c r="C64" s="82" t="str">
        <x:v>Health care</x:v>
      </x:c>
      <x:c r="D64" s="82" t="str">
        <x:v>Establish and support 30 community care clinics that offer local, collaborative care from a variety of health professionals in one place when you need it.</x:v>
      </x:c>
      <x:c r="E64" s="82" t="str">
        <x:v>IN PROGRESS</x:v>
      </x:c>
      <x:c r="F64" s="82" t="str">
        <x:v>Partially available to intended residents</x:v>
      </x:c>
      <x:c r="G64" s="82" t="str">
        <x:v>Not yet measurable</x:v>
      </x:c>
      <x:c r="H64" s="99" t="n">
        <x:v>46146.5</x:v>
      </x:c>
      <x:c r="I64" s="82" t="str">
        <x:v>Fifteen clinics announced toward 30 by end-2028; 14 clinics reported 6,853 additional attachments.</x:v>
      </x:c>
      <x:c r="J64" s="82" t="str">
        <x:v>https://www.gnb.ca/en/news/n-b.2026.05.province-reaches-midway-point-collaborative-care-clinic-commitment.html</x:v>
      </x:c>
      <x:c r="K64" s="82"/>
      <x:c r="L64" s="82" t="str">
        <x:v>Not specified</x:v>
      </x:c>
      <x:c r="M64" s="82" t="str">
        <x:v>No verified material redesign</x:v>
      </x:c>
      <x:c r="N64" s="82" t="str">
        <x:v>Moderate</x:v>
      </x:c>
      <x:c r="O64" s="96" t="b">
        <x:v>0</x:v>
      </x:c>
      <x:c r="P64" s="82"/>
    </x:row>
    <x:row r="65">
      <x:c r="A65" s="82" t="str">
        <x:v>PLAT-HLT-055-02</x:v>
      </x:c>
      <x:c r="B65" s="82" t="str">
        <x:v>HOLT-2024-P058</x:v>
      </x:c>
      <x:c r="C65" s="82" t="str">
        <x:v>Health care</x:v>
      </x:c>
      <x:c r="D65" s="82" t="str">
        <x:v>Provide dedicated non-clinical staff and administrative support to these clinics to ensure healthcare providers are focused on patients, not paperwork.</x:v>
      </x:c>
      <x:c r="E65" s="82" t="str">
        <x:v>IN PROGRESS</x:v>
      </x:c>
      <x:c r="F65" s="82" t="str">
        <x:v>Partially available to intended residents</x:v>
      </x:c>
      <x:c r="G65" s="82" t="str">
        <x:v>Not yet measurable</x:v>
      </x:c>
      <x:c r="H65" s="99" t="n">
        <x:v>46146.5</x:v>
      </x:c>
      <x:c r="I65" s="82" t="str">
        <x:v>Fifteen clinics announced toward 30 by end-2028; 14 clinics reported 6,853 additional attachments.</x:v>
      </x:c>
      <x:c r="J65" s="82" t="str">
        <x:v>https://www.gnb.ca/en/news/n-b.2026.05.province-reaches-midway-point-collaborative-care-clinic-commitment.html</x:v>
      </x:c>
      <x:c r="K65" s="82"/>
      <x:c r="L65" s="82" t="str">
        <x:v>Not specified</x:v>
      </x:c>
      <x:c r="M65" s="82" t="str">
        <x:v>No verified material redesign</x:v>
      </x:c>
      <x:c r="N65" s="82" t="str">
        <x:v>Moderate</x:v>
      </x:c>
      <x:c r="O65" s="96" t="b">
        <x:v>0</x:v>
      </x:c>
      <x:c r="P65" s="82"/>
    </x:row>
    <x:row r="66">
      <x:c r="A66" s="82" t="str">
        <x:v>PLAT-HLT-056-01</x:v>
      </x:c>
      <x:c r="B66" s="82" t="str">
        <x:v>HOLT-2024-P059</x:v>
      </x:c>
      <x:c r="C66" s="82" t="str">
        <x:v>Health care</x:v>
      </x:c>
      <x:c r="D66" s="82" t="str">
        <x:v>Use hospitals to their fullest potential by increasing the time that operating rooms are open.</x:v>
      </x:c>
      <x:c r="E66" s="82" t="str">
        <x:v>NO PUBLIC TRACKER STATUS</x:v>
      </x:c>
      <x:c r="F66" s="82" t="str">
        <x:v>Not verifiable</x:v>
      </x:c>
      <x:c r="G66" s="82" t="str">
        <x:v>Not yet measurable</x:v>
      </x:c>
      <x:c r="H66" s="99"/>
      <x:c r="I66" s="82" t="str">
        <x:v>No model-grade implementation evidence located by cutoff.</x:v>
      </x:c>
      <x:c r="J66" s="82" t="str">
        <x:v>https://nbliberal.ca/platform/</x:v>
      </x:c>
      <x:c r="K66" s="82"/>
      <x:c r="L66" s="82" t="str">
        <x:v>Not specified</x:v>
      </x:c>
      <x:c r="M66" s="82" t="str">
        <x:v>No verified material redesign</x:v>
      </x:c>
      <x:c r="N66" s="82" t="str">
        <x:v>Low / unobserved</x:v>
      </x:c>
      <x:c r="O66" s="96" t="b">
        <x:v>0</x:v>
      </x:c>
      <x:c r="P66" s="82"/>
    </x:row>
    <x:row r="67">
      <x:c r="A67" s="82" t="str">
        <x:v>PLAT-HLT-057-01</x:v>
      </x:c>
      <x:c r="B67" s="82" t="str">
        <x:v>HOLT-2024-P060</x:v>
      </x:c>
      <x:c r="C67" s="82" t="str">
        <x:v>Health care</x:v>
      </x:c>
      <x:c r="D67" s="82" t="str">
        <x:v>Invest in modern technology, including centralized waitlists and standardized digital records management systems, to facilitate the seamless and secure exchange of patient information among healthcare providers, regions, the regional health authorities, and community care clinics.</x:v>
      </x:c>
      <x:c r="E67" s="82" t="str">
        <x:v>IN PROGRESS</x:v>
      </x:c>
      <x:c r="F67" s="82" t="str">
        <x:v>Funding appropriated</x:v>
      </x:c>
      <x:c r="G67" s="82" t="str">
        <x:v>Not yet measurable</x:v>
      </x:c>
      <x:c r="H67" s="99" t="n">
        <x:v>46098.5</x:v>
      </x:c>
      <x:c r="I67" s="82" t="str">
        <x:v>$50 million budgeted to continue clinical information-system work.</x:v>
      </x:c>
      <x:c r="J67" s="82" t="str">
        <x:v>https://www.gnb.ca/en/news/n-b.2026.03.budget-2026-27-putting-new-brunswickers-first.html</x:v>
      </x:c>
      <x:c r="K67" s="82"/>
      <x:c r="L67" s="82" t="str">
        <x:v>Not specified</x:v>
      </x:c>
      <x:c r="M67" s="82" t="str">
        <x:v>No verified material redesign</x:v>
      </x:c>
      <x:c r="N67" s="82" t="str">
        <x:v>Moderate</x:v>
      </x:c>
      <x:c r="O67" s="96" t="b">
        <x:v>0</x:v>
      </x:c>
      <x:c r="P67" s="82"/>
    </x:row>
    <x:row r="68">
      <x:c r="A68" s="82" t="str">
        <x:v>PLAT-HLT-058-01</x:v>
      </x:c>
      <x:c r="B68" s="82" t="str">
        <x:v>HOLT-2024-P061</x:v>
      </x:c>
      <x:c r="C68" s="82" t="str">
        <x:v>Health care</x:v>
      </x:c>
      <x:c r="D68" s="82" t="str">
        <x:v>Create a multi-pronged plan developed for all healthcare professionals to improve working conditions, prioritize support for their wellness, and increase retention.</x:v>
      </x:c>
      <x:c r="E68" s="82" t="str">
        <x:v>IN PROGRESS</x:v>
      </x:c>
      <x:c r="F68" s="82" t="str">
        <x:v>Operational implementation begun</x:v>
      </x:c>
      <x:c r="G68" s="82" t="str">
        <x:v>Not yet measurable</x:v>
      </x:c>
      <x:c r="H68" s="99"/>
      <x:c r="I68" s="82" t="str">
        <x:v>No model-grade implementation evidence located by cutoff.</x:v>
      </x:c>
      <x:c r="J68" s="82" t="str">
        <x:v>https://nbliberal.ca/platform/</x:v>
      </x:c>
      <x:c r="K68" s="82"/>
      <x:c r="L68" s="82" t="str">
        <x:v>Not specified</x:v>
      </x:c>
      <x:c r="M68" s="82" t="str">
        <x:v>No verified material redesign</x:v>
      </x:c>
      <x:c r="N68" s="82" t="str">
        <x:v>Moderate</x:v>
      </x:c>
      <x:c r="O68" s="96" t="b">
        <x:v>0</x:v>
      </x:c>
      <x:c r="P68" s="82"/>
    </x:row>
    <x:row r="69">
      <x:c r="A69" s="82" t="str">
        <x:v>PLAT-HLT-059-01</x:v>
      </x:c>
      <x:c r="B69" s="82" t="str">
        <x:v>HOLT-2024-P062</x:v>
      </x:c>
      <x:c r="C69" s="82" t="str">
        <x:v>Health care</x:v>
      </x:c>
      <x:c r="D69" s="82" t="str">
        <x:v>Immediately deliver retention payments to show our respect for ​​​nurses ​and examine other tools that aid retention and recruitment.</x:v>
      </x:c>
      <x:c r="E69" s="82" t="str">
        <x:v>IN PROGRESS</x:v>
      </x:c>
      <x:c r="F69" s="82" t="str">
        <x:v>Partially available to intended residents</x:v>
      </x:c>
      <x:c r="G69" s="82" t="str">
        <x:v>Not yet measurable</x:v>
      </x:c>
      <x:c r="H69" s="99" t="n">
        <x:v>46141.5</x:v>
      </x:c>
      <x:c r="I69" s="82" t="str">
        <x:v>Government reports nurse turnover reductions after retention payments; causal attribution is not independently established.</x:v>
      </x:c>
      <x:c r="J69" s="82" t="str">
        <x:v>https://www.gnb.ca/en/news/n-b.2026.04.government-provides-update-health-care-system.html</x:v>
      </x:c>
      <x:c r="K69" s="82" t="str">
        <x:v>Immediate</x:v>
      </x:c>
      <x:c r="L69" s="82" t="str">
        <x:v>Not specified</x:v>
      </x:c>
      <x:c r="M69" s="82" t="str">
        <x:v>No verified material redesign</x:v>
      </x:c>
      <x:c r="N69" s="82" t="str">
        <x:v>Moderate</x:v>
      </x:c>
      <x:c r="O69" s="96" t="b">
        <x:v>0</x:v>
      </x:c>
      <x:c r="P69" s="82"/>
    </x:row>
    <x:row r="70">
      <x:c r="A70" s="82" t="str">
        <x:v>PLAT-HLT-060-01</x:v>
      </x:c>
      <x:c r="B70" s="82" t="str">
        <x:v>HOLT-2024-P063</x:v>
      </x:c>
      <x:c r="C70" s="82" t="str">
        <x:v>Health care</x:v>
      </x:c>
      <x:c r="D70" s="82" t="str">
        <x:v>Work with communities and experts to ensure local realities are respected and factored into any plan to retain and recruit healthcare professionals.</x:v>
      </x:c>
      <x:c r="E70" s="82" t="str">
        <x:v>NO PUBLIC TRACKER STATUS</x:v>
      </x:c>
      <x:c r="F70" s="82" t="str">
        <x:v>Not verifiable</x:v>
      </x:c>
      <x:c r="G70" s="82" t="str">
        <x:v>Not yet measurable</x:v>
      </x:c>
      <x:c r="H70" s="99"/>
      <x:c r="I70" s="82" t="str">
        <x:v>No model-grade implementation evidence located by cutoff.</x:v>
      </x:c>
      <x:c r="J70" s="82" t="str">
        <x:v>https://nbliberal.ca/platform/</x:v>
      </x:c>
      <x:c r="K70" s="82"/>
      <x:c r="L70" s="82" t="str">
        <x:v>Not specified</x:v>
      </x:c>
      <x:c r="M70" s="82" t="str">
        <x:v>No verified material redesign</x:v>
      </x:c>
      <x:c r="N70" s="82" t="str">
        <x:v>Low / unobserved</x:v>
      </x:c>
      <x:c r="O70" s="96" t="b">
        <x:v>0</x:v>
      </x:c>
      <x:c r="P70" s="82"/>
    </x:row>
    <x:row r="71">
      <x:c r="A71" s="82" t="str">
        <x:v>PLAT-HLT-061-01</x:v>
      </x:c>
      <x:c r="B71" s="82" t="str">
        <x:v>HOLT-2024-P064</x:v>
      </x:c>
      <x:c r="C71" s="82" t="str">
        <x:v>Health care</x:v>
      </x:c>
      <x:c r="D71" s="82" t="str">
        <x:v>Improve the compensation model for doctors and primary care providers, including fair pay for those who perform after-hours care.</x:v>
      </x:c>
      <x:c r="E71" s="82" t="str">
        <x:v>COMPLETE</x:v>
      </x:c>
      <x:c r="F71" s="82" t="str">
        <x:v>Fully operational at the promised scale</x:v>
      </x:c>
      <x:c r="G71" s="82" t="str">
        <x:v>Operational output verified; effectiveness may remain untested</x:v>
      </x:c>
      <x:c r="H71" s="99" t="n">
        <x:v>46113.5</x:v>
      </x:c>
      <x:c r="I71" s="82" t="str">
        <x:v>$170.4 million physician-services agreement introduced new compensation models.</x:v>
      </x:c>
      <x:c r="J71" s="82" t="str">
        <x:v>https://www.gnb.ca/en/news/n-b.2026.03.budget-2026-27-putting-new-brunswickers-first.html</x:v>
      </x:c>
      <x:c r="K71" s="82"/>
      <x:c r="L71" s="82" t="str">
        <x:v>Not specified</x:v>
      </x:c>
      <x:c r="M71" s="82" t="str">
        <x:v>No verified material redesign</x:v>
      </x:c>
      <x:c r="N71" s="82" t="str">
        <x:v>Moderate</x:v>
      </x:c>
      <x:c r="O71" s="96" t="b">
        <x:v>0</x:v>
      </x:c>
      <x:c r="P71" s="82"/>
    </x:row>
    <x:row r="72">
      <x:c r="A72" s="82" t="str">
        <x:v>PLAT-HLT-062-01</x:v>
      </x:c>
      <x:c r="B72" s="82" t="str">
        <x:v>HOLT-2024-P065</x:v>
      </x:c>
      <x:c r="C72" s="82" t="str">
        <x:v>Health care</x:v>
      </x:c>
      <x:c r="D72" s="82" t="str">
        <x:v>Work with Dalhousie Medicine New Brunswick and Centre de formation médicale du Nouveau-Brunswick to create more training and residency seats.</x:v>
      </x:c>
      <x:c r="E72" s="82" t="str">
        <x:v>IN PROGRESS</x:v>
      </x:c>
      <x:c r="F72" s="82" t="str">
        <x:v>Funding appropriated</x:v>
      </x:c>
      <x:c r="G72" s="82" t="str">
        <x:v>Not yet measurable</x:v>
      </x:c>
      <x:c r="H72" s="99"/>
      <x:c r="I72" s="82" t="str">
        <x:v>No model-grade implementation evidence located by cutoff.</x:v>
      </x:c>
      <x:c r="J72" s="82" t="str">
        <x:v>https://nbliberal.ca/platform/</x:v>
      </x:c>
      <x:c r="K72" s="82"/>
      <x:c r="L72" s="82" t="str">
        <x:v>Not specified</x:v>
      </x:c>
      <x:c r="M72" s="82" t="str">
        <x:v>No verified material redesign</x:v>
      </x:c>
      <x:c r="N72" s="82" t="str">
        <x:v>Moderate</x:v>
      </x:c>
      <x:c r="O72" s="96" t="b">
        <x:v>0</x:v>
      </x:c>
      <x:c r="P72" s="82"/>
    </x:row>
    <x:row r="73">
      <x:c r="A73" s="82" t="str">
        <x:v>PLAT-HLT-063-01</x:v>
      </x:c>
      <x:c r="B73" s="82" t="str">
        <x:v>HOLT-2024-P066</x:v>
      </x:c>
      <x:c r="C73" s="82" t="str">
        <x:v>Health care</x:v>
      </x:c>
      <x:c r="D73" s="82" t="str">
        <x:v>Implement innovative approaches to recruit healthcare professionals, including nurses and doctors.</x:v>
      </x:c>
      <x:c r="E73" s="82" t="str">
        <x:v>IN PROGRESS</x:v>
      </x:c>
      <x:c r="F73" s="82" t="str">
        <x:v>Operational implementation begun</x:v>
      </x:c>
      <x:c r="G73" s="82" t="str">
        <x:v>Not yet measurable</x:v>
      </x:c>
      <x:c r="H73" s="99"/>
      <x:c r="I73" s="82" t="str">
        <x:v>No model-grade implementation evidence located by cutoff.</x:v>
      </x:c>
      <x:c r="J73" s="82" t="str">
        <x:v>https://nbliberal.ca/platform/</x:v>
      </x:c>
      <x:c r="K73" s="82"/>
      <x:c r="L73" s="82" t="str">
        <x:v>Not specified</x:v>
      </x:c>
      <x:c r="M73" s="82" t="str">
        <x:v>No verified material redesign</x:v>
      </x:c>
      <x:c r="N73" s="82" t="str">
        <x:v>Moderate</x:v>
      </x:c>
      <x:c r="O73" s="96" t="b">
        <x:v>0</x:v>
      </x:c>
      <x:c r="P73" s="82"/>
    </x:row>
    <x:row r="74">
      <x:c r="A74" s="82" t="str">
        <x:v>PLAT-HLT-064-01</x:v>
      </x:c>
      <x:c r="B74" s="82" t="str">
        <x:v>HOLT-2024-P067</x:v>
      </x:c>
      <x:c r="C74" s="82" t="str">
        <x:v>Health care</x:v>
      </x:c>
      <x:c r="D74" s="82" t="str">
        <x:v>Leverage existing healthcare knowledge by working with regulators to improve foreign credential recognition for nurses, doctors, and other healthcare professionals already in our province and looking to call New Brunswick home.</x:v>
      </x:c>
      <x:c r="E74" s="82" t="str">
        <x:v>NO PUBLIC TRACKER STATUS</x:v>
      </x:c>
      <x:c r="F74" s="82" t="str">
        <x:v>Not verifiable</x:v>
      </x:c>
      <x:c r="G74" s="82" t="str">
        <x:v>Not yet measurable</x:v>
      </x:c>
      <x:c r="H74" s="99"/>
      <x:c r="I74" s="82" t="str">
        <x:v>No model-grade implementation evidence located by cutoff.</x:v>
      </x:c>
      <x:c r="J74" s="82" t="str">
        <x:v>https://nbliberal.ca/platform/</x:v>
      </x:c>
      <x:c r="K74" s="82"/>
      <x:c r="L74" s="82" t="str">
        <x:v>Not specified</x:v>
      </x:c>
      <x:c r="M74" s="82" t="str">
        <x:v>No verified material redesign</x:v>
      </x:c>
      <x:c r="N74" s="82" t="str">
        <x:v>Low / unobserved</x:v>
      </x:c>
      <x:c r="O74" s="96" t="b">
        <x:v>0</x:v>
      </x:c>
      <x:c r="P74" s="82"/>
    </x:row>
    <x:row r="75">
      <x:c r="A75" s="82" t="str">
        <x:v>PLAT-HLT-065-01</x:v>
      </x:c>
      <x:c r="B75" s="82" t="str">
        <x:v>HOLT-2024-P068</x:v>
      </x:c>
      <x:c r="C75" s="82" t="str">
        <x:v>Health care</x:v>
      </x:c>
      <x:c r="D75" s="82" t="str">
        <x:v>Review and expand healthcare professionals’ scope of practice to optimize their roles.</x:v>
      </x:c>
      <x:c r="E75" s="82" t="str">
        <x:v>NO PUBLIC TRACKER STATUS</x:v>
      </x:c>
      <x:c r="F75" s="82" t="str">
        <x:v>Not verifiable</x:v>
      </x:c>
      <x:c r="G75" s="82" t="str">
        <x:v>Not yet measurable</x:v>
      </x:c>
      <x:c r="H75" s="99"/>
      <x:c r="I75" s="82" t="str">
        <x:v>No model-grade implementation evidence located by cutoff.</x:v>
      </x:c>
      <x:c r="J75" s="82" t="str">
        <x:v>https://nbliberal.ca/platform/</x:v>
      </x:c>
      <x:c r="K75" s="82"/>
      <x:c r="L75" s="82" t="str">
        <x:v>Not specified</x:v>
      </x:c>
      <x:c r="M75" s="82" t="str">
        <x:v>No verified material redesign</x:v>
      </x:c>
      <x:c r="N75" s="82" t="str">
        <x:v>Low / unobserved</x:v>
      </x:c>
      <x:c r="O75" s="96" t="b">
        <x:v>0</x:v>
      </x:c>
      <x:c r="P75" s="82"/>
    </x:row>
    <x:row r="76">
      <x:c r="A76" s="82" t="str">
        <x:v>PLAT-HLT-066-01</x:v>
      </x:c>
      <x:c r="B76" s="82" t="str">
        <x:v>HOLT-2024-P069</x:v>
      </x:c>
      <x:c r="C76" s="82" t="str">
        <x:v>Health care</x:v>
      </x:c>
      <x:c r="D76" s="82" t="str">
        <x:v>Expand the Nursing Homes Without Walls model and ensure that those who want to stay at home can do so for as long as possible.</x:v>
      </x:c>
      <x:c r="E76" s="82" t="str">
        <x:v>IN PROGRESS</x:v>
      </x:c>
      <x:c r="F76" s="82" t="str">
        <x:v>Operational implementation begun</x:v>
      </x:c>
      <x:c r="G76" s="82" t="str">
        <x:v>Not yet measurable</x:v>
      </x:c>
      <x:c r="H76" s="99"/>
      <x:c r="I76" s="82" t="str">
        <x:v>No model-grade implementation evidence located by cutoff.</x:v>
      </x:c>
      <x:c r="J76" s="82" t="str">
        <x:v>https://nbliberal.ca/platform/</x:v>
      </x:c>
      <x:c r="K76" s="82"/>
      <x:c r="L76" s="82" t="str">
        <x:v>Not specified</x:v>
      </x:c>
      <x:c r="M76" s="82" t="str">
        <x:v>No verified material redesign</x:v>
      </x:c>
      <x:c r="N76" s="82" t="str">
        <x:v>Moderate</x:v>
      </x:c>
      <x:c r="O76" s="96" t="b">
        <x:v>0</x:v>
      </x:c>
      <x:c r="P76" s="82"/>
    </x:row>
    <x:row r="77">
      <x:c r="A77" s="82" t="str">
        <x:v>PLAT-HLT-067-01</x:v>
      </x:c>
      <x:c r="B77" s="82" t="str">
        <x:v>HOLT-2024-P070</x:v>
      </x:c>
      <x:c r="C77" s="82" t="str">
        <x:v>Health care</x:v>
      </x:c>
      <x:c r="D77" s="82" t="str">
        <x:v>Ensure all existing nursing home beds are accessible by filling staffing gaps by investing in wages for personal support workers and resident attendants ultimately resulting in increased hours of care.</x:v>
      </x:c>
      <x:c r="E77" s="82" t="str">
        <x:v>NO PUBLIC TRACKER STATUS</x:v>
      </x:c>
      <x:c r="F77" s="82" t="str">
        <x:v>Not verifiable</x:v>
      </x:c>
      <x:c r="G77" s="82" t="str">
        <x:v>Not yet measurable</x:v>
      </x:c>
      <x:c r="H77" s="99"/>
      <x:c r="I77" s="82" t="str">
        <x:v>No model-grade implementation evidence located by cutoff.</x:v>
      </x:c>
      <x:c r="J77" s="82" t="str">
        <x:v>https://nbliberal.ca/platform/</x:v>
      </x:c>
      <x:c r="K77" s="82"/>
      <x:c r="L77" s="82" t="str">
        <x:v>Not specified</x:v>
      </x:c>
      <x:c r="M77" s="82" t="str">
        <x:v>No verified material redesign</x:v>
      </x:c>
      <x:c r="N77" s="82" t="str">
        <x:v>Low / unobserved</x:v>
      </x:c>
      <x:c r="O77" s="96" t="b">
        <x:v>0</x:v>
      </x:c>
      <x:c r="P77" s="82"/>
    </x:row>
    <x:row r="78">
      <x:c r="A78" s="82" t="str">
        <x:v>PLAT-HLT-068-01</x:v>
      </x:c>
      <x:c r="B78" s="82" t="str">
        <x:v>HOLT-2024-P071</x:v>
      </x:c>
      <x:c r="C78" s="82" t="str">
        <x:v>Health care</x:v>
      </x:c>
      <x:c r="D78" s="82" t="str">
        <x:v>Review and update the process and standards for home care allocation and invest in increased wages for homecare workers.</x:v>
      </x:c>
      <x:c r="E78" s="82" t="str">
        <x:v>IN PROGRESS</x:v>
      </x:c>
      <x:c r="F78" s="82" t="str">
        <x:v>Funding appropriated</x:v>
      </x:c>
      <x:c r="G78" s="82" t="str">
        <x:v>Not yet measurable</x:v>
      </x:c>
      <x:c r="H78" s="99"/>
      <x:c r="I78" s="82" t="str">
        <x:v>No model-grade implementation evidence located by cutoff.</x:v>
      </x:c>
      <x:c r="J78" s="82" t="str">
        <x:v>https://nbliberal.ca/platform/</x:v>
      </x:c>
      <x:c r="K78" s="82"/>
      <x:c r="L78" s="82" t="str">
        <x:v>Not specified</x:v>
      </x:c>
      <x:c r="M78" s="82" t="str">
        <x:v>No verified material redesign</x:v>
      </x:c>
      <x:c r="N78" s="82" t="str">
        <x:v>Moderate</x:v>
      </x:c>
      <x:c r="O78" s="96" t="b">
        <x:v>0</x:v>
      </x:c>
      <x:c r="P78" s="82"/>
    </x:row>
    <x:row r="79">
      <x:c r="A79" s="82" t="str">
        <x:v>PLAT-HLT-069-01</x:v>
      </x:c>
      <x:c r="B79" s="82" t="str">
        <x:v>HOLT-2024-P072</x:v>
      </x:c>
      <x:c r="C79" s="82" t="str">
        <x:v>Health care</x:v>
      </x:c>
      <x:c r="D79" s="82" t="str">
        <x:v>Increase comfort and clothing allowance for seniors from $150 to $200.</x:v>
      </x:c>
      <x:c r="E79" s="82" t="str">
        <x:v>NO PUBLIC TRACKER STATUS</x:v>
      </x:c>
      <x:c r="F79" s="82" t="str">
        <x:v>Not verifiable</x:v>
      </x:c>
      <x:c r="G79" s="82" t="str">
        <x:v>Not yet measurable</x:v>
      </x:c>
      <x:c r="H79" s="99"/>
      <x:c r="I79" s="82" t="str">
        <x:v>No model-grade implementation evidence located by cutoff.</x:v>
      </x:c>
      <x:c r="J79" s="82" t="str">
        <x:v>https://nbliberal.ca/platform/</x:v>
      </x:c>
      <x:c r="K79" s="82"/>
      <x:c r="L79" s="82" t="str">
        <x:v>Not specified</x:v>
      </x:c>
      <x:c r="M79" s="82" t="str">
        <x:v>No verified material redesign</x:v>
      </x:c>
      <x:c r="N79" s="82" t="str">
        <x:v>Low / unobserved</x:v>
      </x:c>
      <x:c r="O79" s="96" t="b">
        <x:v>0</x:v>
      </x:c>
      <x:c r="P79" s="82"/>
    </x:row>
    <x:row r="80">
      <x:c r="A80" s="82" t="str">
        <x:v>PLAT-HLT-070-01</x:v>
      </x:c>
      <x:c r="B80" s="82" t="str">
        <x:v>HOLT-2024-P073</x:v>
      </x:c>
      <x:c r="C80" s="82" t="str">
        <x:v>Health care</x:v>
      </x:c>
      <x:c r="D80" s="82" t="str">
        <x:v>Establish sector standards and transparent reporting practices with a robust system for complaints that leads to quick responses and better overall delivery to ensure our seniors continue to receive excellent care.</x:v>
      </x:c>
      <x:c r="E80" s="82" t="str">
        <x:v>NO PUBLIC TRACKER STATUS</x:v>
      </x:c>
      <x:c r="F80" s="82" t="str">
        <x:v>Not verifiable</x:v>
      </x:c>
      <x:c r="G80" s="82" t="str">
        <x:v>Not yet measurable</x:v>
      </x:c>
      <x:c r="H80" s="99"/>
      <x:c r="I80" s="82" t="str">
        <x:v>No model-grade implementation evidence located by cutoff.</x:v>
      </x:c>
      <x:c r="J80" s="82" t="str">
        <x:v>https://nbliberal.ca/platform/</x:v>
      </x:c>
      <x:c r="K80" s="82"/>
      <x:c r="L80" s="82" t="str">
        <x:v>Not specified</x:v>
      </x:c>
      <x:c r="M80" s="82" t="str">
        <x:v>No verified material redesign</x:v>
      </x:c>
      <x:c r="N80" s="82" t="str">
        <x:v>Low / unobserved</x:v>
      </x:c>
      <x:c r="O80" s="96" t="b">
        <x:v>0</x:v>
      </x:c>
      <x:c r="P80" s="82"/>
    </x:row>
    <x:row r="81">
      <x:c r="A81" s="82" t="str">
        <x:v>PLAT-HLT-071-01</x:v>
      </x:c>
      <x:c r="B81" s="82" t="str">
        <x:v>HOLT-2024-P074</x:v>
      </x:c>
      <x:c r="C81" s="82" t="str">
        <x:v>Health care</x:v>
      </x:c>
      <x:c r="D81" s="82" t="str">
        <x:v>Implement a caregiver benefit for unpaid and informal caregivers of aging family members, giving caregivers $250 a month to recognize their contribution.</x:v>
      </x:c>
      <x:c r="E81" s="82" t="str">
        <x:v>NO PUBLIC TRACKER STATUS</x:v>
      </x:c>
      <x:c r="F81" s="82" t="str">
        <x:v>Not verifiable</x:v>
      </x:c>
      <x:c r="G81" s="82" t="str">
        <x:v>Not yet measurable</x:v>
      </x:c>
      <x:c r="H81" s="99"/>
      <x:c r="I81" s="82" t="str">
        <x:v>No model-grade implementation evidence located by cutoff.</x:v>
      </x:c>
      <x:c r="J81" s="82" t="str">
        <x:v>https://nbliberal.ca/platform/</x:v>
      </x:c>
      <x:c r="K81" s="82"/>
      <x:c r="L81" s="82" t="str">
        <x:v>Not specified</x:v>
      </x:c>
      <x:c r="M81" s="82" t="str">
        <x:v>No verified material redesign</x:v>
      </x:c>
      <x:c r="N81" s="82" t="str">
        <x:v>Low / unobserved</x:v>
      </x:c>
      <x:c r="O81" s="96" t="b">
        <x:v>0</x:v>
      </x:c>
      <x:c r="P81" s="82"/>
    </x:row>
    <x:row r="82">
      <x:c r="A82" s="82" t="str">
        <x:v>PLAT-HLT-072-01</x:v>
      </x:c>
      <x:c r="B82" s="82" t="str">
        <x:v>HOLT-2024-P075</x:v>
      </x:c>
      <x:c r="C82" s="82" t="str">
        <x:v>Health care</x:v>
      </x:c>
      <x:c r="D82" s="82" t="str">
        <x:v>Work with communities to develop and implement a strategy that better supports those living with Alzheimer’s and dementia.</x:v>
      </x:c>
      <x:c r="E82" s="82" t="str">
        <x:v>COMPLETE</x:v>
      </x:c>
      <x:c r="F82" s="82" t="str">
        <x:v>Design or consultation</x:v>
      </x:c>
      <x:c r="G82" s="82" t="str">
        <x:v>Not yet measurable</x:v>
      </x:c>
      <x:c r="H82" s="99"/>
      <x:c r="I82" s="82" t="str">
        <x:v>No model-grade implementation evidence located by cutoff.</x:v>
      </x:c>
      <x:c r="J82" s="82" t="str">
        <x:v>https://nbliberal.ca/platform/</x:v>
      </x:c>
      <x:c r="K82" s="82"/>
      <x:c r="L82" s="82" t="str">
        <x:v>Not specified</x:v>
      </x:c>
      <x:c r="M82" s="82" t="str">
        <x:v>No verified material redesign</x:v>
      </x:c>
      <x:c r="N82" s="82" t="str">
        <x:v>Moderate</x:v>
      </x:c>
      <x:c r="O82" s="96" t="b">
        <x:v>0</x:v>
      </x:c>
      <x:c r="P82" s="82"/>
    </x:row>
    <x:row r="83">
      <x:c r="A83" s="82" t="str">
        <x:v>PLAT-HLT-073-01</x:v>
      </x:c>
      <x:c r="B83" s="82" t="str">
        <x:v>HOLT-2024-P076</x:v>
      </x:c>
      <x:c r="C83" s="82" t="str">
        <x:v>Health care</x:v>
      </x:c>
      <x:c r="D83" s="82" t="str">
        <x:v>Provide the RSV vaccine for free for seniors and vulnerable people.</x:v>
      </x:c>
      <x:c r="E83" s="82" t="str">
        <x:v>NO PUBLIC TRACKER STATUS</x:v>
      </x:c>
      <x:c r="F83" s="82" t="str">
        <x:v>Not verifiable</x:v>
      </x:c>
      <x:c r="G83" s="82" t="str">
        <x:v>Not yet measurable</x:v>
      </x:c>
      <x:c r="H83" s="99"/>
      <x:c r="I83" s="82" t="str">
        <x:v>No model-grade implementation evidence located by cutoff.</x:v>
      </x:c>
      <x:c r="J83" s="82" t="str">
        <x:v>https://nbliberal.ca/platform/</x:v>
      </x:c>
      <x:c r="K83" s="82"/>
      <x:c r="L83" s="82" t="str">
        <x:v>Not specified</x:v>
      </x:c>
      <x:c r="M83" s="82" t="str">
        <x:v>No verified material redesign</x:v>
      </x:c>
      <x:c r="N83" s="82" t="str">
        <x:v>Low / unobserved</x:v>
      </x:c>
      <x:c r="O83" s="96" t="b">
        <x:v>0</x:v>
      </x:c>
      <x:c r="P83" s="82"/>
    </x:row>
    <x:row r="84">
      <x:c r="A84" s="82" t="str">
        <x:v>PLAT-HLT-074-01</x:v>
      </x:c>
      <x:c r="B84" s="82" t="str">
        <x:v>HOLT-2024-P077</x:v>
      </x:c>
      <x:c r="C84" s="82" t="str">
        <x:v>Health care</x:v>
      </x:c>
      <x:c r="D84" s="82" t="str">
        <x:v>Increase access to fertility treatments by funding one round of IVF, which is in line with jurisdictions across Canada.</x:v>
      </x:c>
      <x:c r="E84" s="82" t="str">
        <x:v>COMPLETE</x:v>
      </x:c>
      <x:c r="F84" s="82" t="str">
        <x:v>Partially available to intended residents</x:v>
      </x:c>
      <x:c r="G84" s="82" t="str">
        <x:v>Not yet measurable</x:v>
      </x:c>
      <x:c r="H84" s="99" t="n">
        <x:v>46141.5</x:v>
      </x:c>
      <x:c r="I84" s="82" t="str">
        <x:v>378 families approved for fertility reimbursements totalling $3.7 million.</x:v>
      </x:c>
      <x:c r="J84" s="82" t="str">
        <x:v>https://www.gnb.ca/en/news/n-b.2026.04.government-provides-update-health-care-system.html</x:v>
      </x:c>
      <x:c r="K84" s="82"/>
      <x:c r="L84" s="82" t="str">
        <x:v>Not specified</x:v>
      </x:c>
      <x:c r="M84" s="82" t="str">
        <x:v>No verified material redesign</x:v>
      </x:c>
      <x:c r="N84" s="82" t="str">
        <x:v>Moderate</x:v>
      </x:c>
      <x:c r="O84" s="96" t="b">
        <x:v>0</x:v>
      </x:c>
      <x:c r="P84" s="82"/>
    </x:row>
    <x:row r="85">
      <x:c r="A85" s="82" t="str">
        <x:v>PLAT-HLT-075-01</x:v>
      </x:c>
      <x:c r="B85" s="82" t="str">
        <x:v>HOLT-2024-P078</x:v>
      </x:c>
      <x:c r="C85" s="82" t="str">
        <x:v>Health care</x:v>
      </x:c>
      <x:c r="D85" s="82" t="str">
        <x:v>Expand midwifery services and allocating funding to support training and education.</x:v>
      </x:c>
      <x:c r="E85" s="82" t="str">
        <x:v>NO PUBLIC TRACKER STATUS</x:v>
      </x:c>
      <x:c r="F85" s="82" t="str">
        <x:v>Not verifiable</x:v>
      </x:c>
      <x:c r="G85" s="82" t="str">
        <x:v>Not yet measurable</x:v>
      </x:c>
      <x:c r="H85" s="99"/>
      <x:c r="I85" s="82" t="str">
        <x:v>No model-grade implementation evidence located by cutoff.</x:v>
      </x:c>
      <x:c r="J85" s="82" t="str">
        <x:v>https://nbliberal.ca/platform/</x:v>
      </x:c>
      <x:c r="K85" s="82"/>
      <x:c r="L85" s="82" t="str">
        <x:v>Not specified</x:v>
      </x:c>
      <x:c r="M85" s="82" t="str">
        <x:v>No verified material redesign</x:v>
      </x:c>
      <x:c r="N85" s="82" t="str">
        <x:v>Low / unobserved</x:v>
      </x:c>
      <x:c r="O85" s="96" t="b">
        <x:v>0</x:v>
      </x:c>
      <x:c r="P85" s="82"/>
    </x:row>
    <x:row r="86">
      <x:c r="A86" s="82" t="str">
        <x:v>PLAT-HLT-076-01</x:v>
      </x:c>
      <x:c r="B86" s="82" t="str">
        <x:v>HOLT-2024-P079</x:v>
      </x:c>
      <x:c r="C86" s="82" t="str">
        <x:v>Health care</x:v>
      </x:c>
      <x:c r="D86" s="82" t="str">
        <x:v>Make contraception free.</x:v>
      </x:c>
      <x:c r="E86" s="82" t="str">
        <x:v>NO PUBLIC TRACKER STATUS</x:v>
      </x:c>
      <x:c r="F86" s="82" t="str">
        <x:v>Not verifiable</x:v>
      </x:c>
      <x:c r="G86" s="82" t="str">
        <x:v>Not yet measurable</x:v>
      </x:c>
      <x:c r="H86" s="99"/>
      <x:c r="I86" s="82" t="str">
        <x:v>No model-grade implementation evidence located by cutoff.</x:v>
      </x:c>
      <x:c r="J86" s="82" t="str">
        <x:v>https://nbliberal.ca/platform/</x:v>
      </x:c>
      <x:c r="K86" s="82"/>
      <x:c r="L86" s="82" t="str">
        <x:v>Not specified</x:v>
      </x:c>
      <x:c r="M86" s="82" t="str">
        <x:v>No verified material redesign</x:v>
      </x:c>
      <x:c r="N86" s="82" t="str">
        <x:v>Low / unobserved</x:v>
      </x:c>
      <x:c r="O86" s="96" t="b">
        <x:v>0</x:v>
      </x:c>
      <x:c r="P86" s="82"/>
    </x:row>
    <x:row r="87">
      <x:c r="A87" s="82" t="str">
        <x:v>PLAT-HLT-077-01</x:v>
      </x:c>
      <x:c r="B87" s="82" t="str">
        <x:v>HOLT-2024-P080</x:v>
      </x:c>
      <x:c r="C87" s="82" t="str">
        <x:v>Health care</x:v>
      </x:c>
      <x:c r="D87" s="82" t="str">
        <x:v>Implement at-home pap tests for cervical cancer screening.</x:v>
      </x:c>
      <x:c r="E87" s="82" t="str">
        <x:v>IN PROGRESS</x:v>
      </x:c>
      <x:c r="F87" s="82" t="str">
        <x:v>Funding appropriated</x:v>
      </x:c>
      <x:c r="G87" s="82" t="str">
        <x:v>Not yet measurable</x:v>
      </x:c>
      <x:c r="H87" s="99" t="n">
        <x:v>46098.5</x:v>
      </x:c>
      <x:c r="I87" s="82" t="str">
        <x:v>$5 million budgeted for screening expansion including at-home Pap tests.</x:v>
      </x:c>
      <x:c r="J87" s="82" t="str">
        <x:v>https://www.gnb.ca/en/news/n-b.2026.03.budget-2026-27-putting-new-brunswickers-first.html</x:v>
      </x:c>
      <x:c r="K87" s="82"/>
      <x:c r="L87" s="82" t="str">
        <x:v>Not specified</x:v>
      </x:c>
      <x:c r="M87" s="82" t="str">
        <x:v>No verified material redesign</x:v>
      </x:c>
      <x:c r="N87" s="82" t="str">
        <x:v>Moderate</x:v>
      </x:c>
      <x:c r="O87" s="96" t="b">
        <x:v>0</x:v>
      </x:c>
      <x:c r="P87" s="82"/>
    </x:row>
    <x:row r="88">
      <x:c r="A88" s="82" t="str">
        <x:v>PLAT-HLT-078-01</x:v>
      </x:c>
      <x:c r="B88" s="82" t="str">
        <x:v>HOLT-2024-P081</x:v>
      </x:c>
      <x:c r="C88" s="82" t="str">
        <x:v>Health care</x:v>
      </x:c>
      <x:c r="D88" s="82" t="str">
        <x:v>Ensure New Brunswickers can better access abortion services by amending regulation 84–20.</x:v>
      </x:c>
      <x:c r="E88" s="82" t="str">
        <x:v>NO PUBLIC TRACKER STATUS</x:v>
      </x:c>
      <x:c r="F88" s="82" t="str">
        <x:v>Not verifiable</x:v>
      </x:c>
      <x:c r="G88" s="82" t="str">
        <x:v>Not yet measurable</x:v>
      </x:c>
      <x:c r="H88" s="99"/>
      <x:c r="I88" s="82" t="str">
        <x:v>No model-grade implementation evidence located by cutoff.</x:v>
      </x:c>
      <x:c r="J88" s="82" t="str">
        <x:v>https://nbliberal.ca/platform/</x:v>
      </x:c>
      <x:c r="K88" s="82"/>
      <x:c r="L88" s="82" t="str">
        <x:v>Not specified</x:v>
      </x:c>
      <x:c r="M88" s="82" t="str">
        <x:v>No verified material redesign</x:v>
      </x:c>
      <x:c r="N88" s="82" t="str">
        <x:v>Low / unobserved</x:v>
      </x:c>
      <x:c r="O88" s="96" t="b">
        <x:v>0</x:v>
      </x:c>
      <x:c r="P88" s="82"/>
    </x:row>
    <x:row r="89">
      <x:c r="A89" s="82" t="str">
        <x:v>PLAT-HLT-079-01</x:v>
      </x:c>
      <x:c r="B89" s="82" t="str">
        <x:v>HOLT-2024-P082</x:v>
      </x:c>
      <x:c r="C89" s="82" t="str">
        <x:v>Health care</x:v>
      </x:c>
      <x:c r="D89" s="82" t="str">
        <x:v>Ensure billing process aligns with best practices to provide members of the LGBTQI2S+ community with quality health and mental health care—including longer appointment times and gender-affirming care.</x:v>
      </x:c>
      <x:c r="E89" s="82" t="str">
        <x:v>NO PUBLIC TRACKER STATUS</x:v>
      </x:c>
      <x:c r="F89" s="82" t="str">
        <x:v>Not verifiable</x:v>
      </x:c>
      <x:c r="G89" s="82" t="str">
        <x:v>Not yet measurable</x:v>
      </x:c>
      <x:c r="H89" s="99"/>
      <x:c r="I89" s="82" t="str">
        <x:v>No model-grade implementation evidence located by cutoff.</x:v>
      </x:c>
      <x:c r="J89" s="82" t="str">
        <x:v>https://nbliberal.ca/platform/</x:v>
      </x:c>
      <x:c r="K89" s="82"/>
      <x:c r="L89" s="82" t="str">
        <x:v>Not specified</x:v>
      </x:c>
      <x:c r="M89" s="82" t="str">
        <x:v>No verified material redesign</x:v>
      </x:c>
      <x:c r="N89" s="82" t="str">
        <x:v>Low / unobserved</x:v>
      </x:c>
      <x:c r="O89" s="96" t="b">
        <x:v>0</x:v>
      </x:c>
      <x:c r="P89" s="82"/>
    </x:row>
    <x:row r="90">
      <x:c r="A90" s="82" t="str">
        <x:v>PLAT-HLT-080-01</x:v>
      </x:c>
      <x:c r="B90" s="82" t="str">
        <x:v>HOLT-2024-P083</x:v>
      </x:c>
      <x:c r="C90" s="82" t="str">
        <x:v>Health care</x:v>
      </x:c>
      <x:c r="D90" s="82" t="str">
        <x:v>Invite First Nations leaders to create a bilateral forum and ongoing process with the goal of achieving culturally safe and equitable healthcare for Indigenous people in New Brunswick.</x:v>
      </x:c>
      <x:c r="E90" s="82" t="str">
        <x:v>NO PUBLIC TRACKER STATUS</x:v>
      </x:c>
      <x:c r="F90" s="82" t="str">
        <x:v>Not verifiable</x:v>
      </x:c>
      <x:c r="G90" s="82" t="str">
        <x:v>Not yet measurable</x:v>
      </x:c>
      <x:c r="H90" s="99"/>
      <x:c r="I90" s="82" t="str">
        <x:v>No model-grade implementation evidence located by cutoff.</x:v>
      </x:c>
      <x:c r="J90" s="82" t="str">
        <x:v>https://nbliberal.ca/platform/</x:v>
      </x:c>
      <x:c r="K90" s="82"/>
      <x:c r="L90" s="82" t="str">
        <x:v>Not specified</x:v>
      </x:c>
      <x:c r="M90" s="82" t="str">
        <x:v>No verified material redesign</x:v>
      </x:c>
      <x:c r="N90" s="82" t="str">
        <x:v>Low / unobserved</x:v>
      </x:c>
      <x:c r="O90" s="96" t="b">
        <x:v>0</x:v>
      </x:c>
      <x:c r="P90" s="82"/>
    </x:row>
    <x:row r="91">
      <x:c r="A91" s="82" t="str">
        <x:v>PLAT-HLT-081-01</x:v>
      </x:c>
      <x:c r="B91" s="82" t="str">
        <x:v>HOLT-2024-P084</x:v>
      </x:c>
      <x:c r="C91" s="82" t="str">
        <x:v>Health care</x:v>
      </x:c>
      <x:c r="D91" s="82" t="str">
        <x:v>Support, collaborate, and engage with First Nations healthcare leaders in achieving their Health Transformation design and implementation process.</x:v>
      </x:c>
      <x:c r="E91" s="82" t="str">
        <x:v>NO PUBLIC TRACKER STATUS</x:v>
      </x:c>
      <x:c r="F91" s="82" t="str">
        <x:v>Not verifiable</x:v>
      </x:c>
      <x:c r="G91" s="82" t="str">
        <x:v>Not yet measurable</x:v>
      </x:c>
      <x:c r="H91" s="99"/>
      <x:c r="I91" s="82" t="str">
        <x:v>No model-grade implementation evidence located by cutoff.</x:v>
      </x:c>
      <x:c r="J91" s="82" t="str">
        <x:v>https://nbliberal.ca/platform/</x:v>
      </x:c>
      <x:c r="K91" s="82"/>
      <x:c r="L91" s="82" t="str">
        <x:v>Not specified</x:v>
      </x:c>
      <x:c r="M91" s="82" t="str">
        <x:v>No verified material redesign</x:v>
      </x:c>
      <x:c r="N91" s="82" t="str">
        <x:v>Low / unobserved</x:v>
      </x:c>
      <x:c r="O91" s="96" t="b">
        <x:v>0</x:v>
      </x:c>
      <x:c r="P91" s="82"/>
    </x:row>
    <x:row r="92">
      <x:c r="A92" s="82" t="str">
        <x:v>PLAT-HLT-082-01</x:v>
      </x:c>
      <x:c r="B92" s="82" t="str">
        <x:v>HOLT-2024-P085</x:v>
      </x:c>
      <x:c r="C92" s="82" t="str">
        <x:v>Health care</x:v>
      </x:c>
      <x:c r="D92" s="82" t="str">
        <x:v>Ensure mental health professionals are located in as many community care clinics as possible to ensure mental health is being treated as primary care and reduce the frequency of acute mental health challenges.</x:v>
      </x:c>
      <x:c r="E92" s="82" t="str">
        <x:v>IN PROGRESS</x:v>
      </x:c>
      <x:c r="F92" s="82" t="str">
        <x:v>Partially available to intended residents</x:v>
      </x:c>
      <x:c r="G92" s="82" t="str">
        <x:v>Not yet measurable</x:v>
      </x:c>
      <x:c r="H92" s="99"/>
      <x:c r="I92" s="82" t="str">
        <x:v>No model-grade implementation evidence located by cutoff.</x:v>
      </x:c>
      <x:c r="J92" s="82" t="str">
        <x:v>https://nbliberal.ca/platform/</x:v>
      </x:c>
      <x:c r="K92" s="82"/>
      <x:c r="L92" s="82" t="str">
        <x:v>Not specified</x:v>
      </x:c>
      <x:c r="M92" s="82" t="str">
        <x:v>No verified material redesign</x:v>
      </x:c>
      <x:c r="N92" s="82" t="str">
        <x:v>Moderate</x:v>
      </x:c>
      <x:c r="O92" s="96" t="b">
        <x:v>0</x:v>
      </x:c>
      <x:c r="P92" s="82"/>
    </x:row>
    <x:row r="93">
      <x:c r="A93" s="82" t="str">
        <x:v>PLAT-HLT-083-01</x:v>
      </x:c>
      <x:c r="B93" s="82" t="str">
        <x:v>HOLT-2024-P086</x:v>
      </x:c>
      <x:c r="C93" s="82" t="str">
        <x:v>Health care</x:v>
      </x:c>
      <x:c r="D93" s="82" t="str">
        <x:v>Increase residency seats for psychiatrists and clinical psychologists, and develop a retention and training plan for psychologists, counsellors, and other mental health professionals, specifically within schools.</x:v>
      </x:c>
      <x:c r="E93" s="82" t="str">
        <x:v>NO PUBLIC TRACKER STATUS</x:v>
      </x:c>
      <x:c r="F93" s="82" t="str">
        <x:v>Not verifiable</x:v>
      </x:c>
      <x:c r="G93" s="82" t="str">
        <x:v>Not yet measurable</x:v>
      </x:c>
      <x:c r="H93" s="99"/>
      <x:c r="I93" s="82" t="str">
        <x:v>No model-grade implementation evidence located by cutoff.</x:v>
      </x:c>
      <x:c r="J93" s="82" t="str">
        <x:v>https://nbliberal.ca/platform/</x:v>
      </x:c>
      <x:c r="K93" s="82"/>
      <x:c r="L93" s="82" t="str">
        <x:v>Not specified</x:v>
      </x:c>
      <x:c r="M93" s="82" t="str">
        <x:v>No verified material redesign</x:v>
      </x:c>
      <x:c r="N93" s="82" t="str">
        <x:v>Low / unobserved</x:v>
      </x:c>
      <x:c r="O93" s="96" t="b">
        <x:v>0</x:v>
      </x:c>
      <x:c r="P93" s="82"/>
    </x:row>
    <x:row r="94">
      <x:c r="A94" s="82" t="str">
        <x:v>PLAT-HLT-084-01</x:v>
      </x:c>
      <x:c r="B94" s="82" t="str">
        <x:v>HOLT-2024-P087</x:v>
      </x:c>
      <x:c r="C94" s="82" t="str">
        <x:v>Health care</x:v>
      </x:c>
      <x:c r="D94" s="82" t="str">
        <x:v>Invest in community-based case management approaches for front-line service providers currently providing mental health support.</x:v>
      </x:c>
      <x:c r="E94" s="82" t="str">
        <x:v>NO PUBLIC TRACKER STATUS</x:v>
      </x:c>
      <x:c r="F94" s="82" t="str">
        <x:v>Not verifiable</x:v>
      </x:c>
      <x:c r="G94" s="82" t="str">
        <x:v>Not yet measurable</x:v>
      </x:c>
      <x:c r="H94" s="99"/>
      <x:c r="I94" s="82" t="str">
        <x:v>No model-grade implementation evidence located by cutoff.</x:v>
      </x:c>
      <x:c r="J94" s="82" t="str">
        <x:v>https://nbliberal.ca/platform/</x:v>
      </x:c>
      <x:c r="K94" s="82"/>
      <x:c r="L94" s="82" t="str">
        <x:v>Not specified</x:v>
      </x:c>
      <x:c r="M94" s="82" t="str">
        <x:v>No verified material redesign</x:v>
      </x:c>
      <x:c r="N94" s="82" t="str">
        <x:v>Low / unobserved</x:v>
      </x:c>
      <x:c r="O94" s="96" t="b">
        <x:v>0</x:v>
      </x:c>
      <x:c r="P94" s="82"/>
    </x:row>
    <x:row r="95">
      <x:c r="A95" s="82" t="str">
        <x:v>PLAT-HLT-085-01</x:v>
      </x:c>
      <x:c r="B95" s="82" t="str">
        <x:v>HOLT-2024-P088</x:v>
      </x:c>
      <x:c r="C95" s="82" t="str">
        <x:v>Health care</x:v>
      </x:c>
      <x:c r="D95" s="82" t="str">
        <x:v>Create a Mental Health Advocate position to ensure New Brunswickers struggling with mental health and navigating the system have a champion.</x:v>
      </x:c>
      <x:c r="E95" s="82" t="str">
        <x:v>NO PUBLIC TRACKER STATUS</x:v>
      </x:c>
      <x:c r="F95" s="82" t="str">
        <x:v>Not verifiable</x:v>
      </x:c>
      <x:c r="G95" s="82" t="str">
        <x:v>Not yet measurable</x:v>
      </x:c>
      <x:c r="H95" s="99"/>
      <x:c r="I95" s="82" t="str">
        <x:v>No model-grade implementation evidence located by cutoff.</x:v>
      </x:c>
      <x:c r="J95" s="82" t="str">
        <x:v>https://nbliberal.ca/platform/</x:v>
      </x:c>
      <x:c r="K95" s="82"/>
      <x:c r="L95" s="82" t="str">
        <x:v>Not specified</x:v>
      </x:c>
      <x:c r="M95" s="82" t="str">
        <x:v>No verified material redesign</x:v>
      </x:c>
      <x:c r="N95" s="82" t="str">
        <x:v>Low / unobserved</x:v>
      </x:c>
      <x:c r="O95" s="96" t="b">
        <x:v>0</x:v>
      </x:c>
      <x:c r="P95" s="82"/>
    </x:row>
    <x:row r="96">
      <x:c r="A96" s="82" t="str">
        <x:v>PLAT-HLT-086-01</x:v>
      </x:c>
      <x:c r="B96" s="82" t="str">
        <x:v>HOLT-2024-P089</x:v>
      </x:c>
      <x:c r="C96" s="82" t="str">
        <x:v>Health care</x:v>
      </x:c>
      <x:c r="D96" s="82" t="str">
        <x:v>Expand mental health court access to ensure the promotion of alternative pathways for justice.</x:v>
      </x:c>
      <x:c r="E96" s="82" t="str">
        <x:v>COMPLETE</x:v>
      </x:c>
      <x:c r="F96" s="82" t="str">
        <x:v>Fully operational at the promised scale</x:v>
      </x:c>
      <x:c r="G96" s="82" t="str">
        <x:v>Operational output verified; effectiveness may remain untested</x:v>
      </x:c>
      <x:c r="H96" s="99" t="n">
        <x:v>46141.5</x:v>
      </x:c>
      <x:c r="I96" s="82" t="str">
        <x:v>Addictions and mental-health court program listed as launched.</x:v>
      </x:c>
      <x:c r="J96" s="82" t="str">
        <x:v>https://www.gnb.ca/en/news/n-b.2026.04.government-provides-update-health-care-system.html</x:v>
      </x:c>
      <x:c r="K96" s="82"/>
      <x:c r="L96" s="82" t="str">
        <x:v>Not specified</x:v>
      </x:c>
      <x:c r="M96" s="82" t="str">
        <x:v>No verified material redesign</x:v>
      </x:c>
      <x:c r="N96" s="82" t="str">
        <x:v>Moderate</x:v>
      </x:c>
      <x:c r="O96" s="96" t="b">
        <x:v>0</x:v>
      </x:c>
      <x:c r="P96" s="82"/>
    </x:row>
    <x:row r="97">
      <x:c r="A97" s="82" t="str">
        <x:v>PLAT-HLT-087-01</x:v>
      </x:c>
      <x:c r="B97" s="82" t="str">
        <x:v>HOLT-2024-P090</x:v>
      </x:c>
      <x:c r="C97" s="82" t="str">
        <x:v>Health care</x:v>
      </x:c>
      <x:c r="D97" s="82" t="str">
        <x:v>Work in partnership with First Nations to co-create and implement mental health and addiction programs that meet culturally safe First Nation service and practice standards of care.</x:v>
      </x:c>
      <x:c r="E97" s="82" t="str">
        <x:v>NO PUBLIC TRACKER STATUS</x:v>
      </x:c>
      <x:c r="F97" s="82" t="str">
        <x:v>Not verifiable</x:v>
      </x:c>
      <x:c r="G97" s="82" t="str">
        <x:v>Not yet measurable</x:v>
      </x:c>
      <x:c r="H97" s="99"/>
      <x:c r="I97" s="82" t="str">
        <x:v>No model-grade implementation evidence located by cutoff.</x:v>
      </x:c>
      <x:c r="J97" s="82" t="str">
        <x:v>https://nbliberal.ca/platform/</x:v>
      </x:c>
      <x:c r="K97" s="82"/>
      <x:c r="L97" s="82" t="str">
        <x:v>Not specified</x:v>
      </x:c>
      <x:c r="M97" s="82" t="str">
        <x:v>No verified material redesign</x:v>
      </x:c>
      <x:c r="N97" s="82" t="str">
        <x:v>Low / unobserved</x:v>
      </x:c>
      <x:c r="O97" s="96" t="b">
        <x:v>0</x:v>
      </x:c>
      <x:c r="P97" s="82"/>
    </x:row>
    <x:row r="98">
      <x:c r="A98" s="82" t="str">
        <x:v>PLAT-HLT-088-01</x:v>
      </x:c>
      <x:c r="B98" s="82" t="str">
        <x:v>HOLT-2024-P082</x:v>
      </x:c>
      <x:c r="C98" s="82" t="str">
        <x:v>Health care</x:v>
      </x:c>
      <x:c r="D98" s="82" t="str">
        <x:v>Ensure billing practices align with best practices to provide members of the LGBTQI2S+ community with quality health and mental health care—including longer appointment times and gender-affirming care.</x:v>
      </x:c>
      <x:c r="E98" s="82" t="str">
        <x:v>DUPLICATE / CROSS-REFERENCE</x:v>
      </x:c>
      <x:c r="F98" s="82" t="str">
        <x:v>Not applicable - duplicate</x:v>
      </x:c>
      <x:c r="G98" s="82" t="str">
        <x:v>Not double-counted</x:v>
      </x:c>
      <x:c r="H98" s="99"/>
      <x:c r="I98" s="82" t="str">
        <x:v>Repeated or cross-referenced platform commitment.</x:v>
      </x:c>
      <x:c r="J98" s="82" t="str">
        <x:v>https://nbliberal.ca/platform/</x:v>
      </x:c>
      <x:c r="K98" s="82"/>
      <x:c r="L98" s="82"/>
      <x:c r="M98" s="82"/>
      <x:c r="N98" s="82" t="str">
        <x:v>High</x:v>
      </x:c>
      <x:c r="O98" s="96" t="b">
        <x:v>1</x:v>
      </x:c>
      <x:c r="P98" s="82" t="str">
        <x:v>HOLT-2024-P082</x:v>
      </x:c>
    </x:row>
    <x:row r="99">
      <x:c r="A99" s="82" t="str">
        <x:v>PLAT-HLT-089-01</x:v>
      </x:c>
      <x:c r="B99" s="82" t="str">
        <x:v>HOLT-2024-P091</x:v>
      </x:c>
      <x:c r="C99" s="82" t="str">
        <x:v>Health care</x:v>
      </x:c>
      <x:c r="D99" s="82" t="str">
        <x:v>Invest in treatment beds throughout the province, ensure there is a bed for anyone who wants it when they want it, and ensure that there is an optional continuum of care for those exiting treatment.</x:v>
      </x:c>
      <x:c r="E99" s="82" t="str">
        <x:v>NO PUBLIC TRACKER STATUS</x:v>
      </x:c>
      <x:c r="F99" s="82" t="str">
        <x:v>Not verifiable</x:v>
      </x:c>
      <x:c r="G99" s="82" t="str">
        <x:v>Not yet measurable</x:v>
      </x:c>
      <x:c r="H99" s="99"/>
      <x:c r="I99" s="82" t="str">
        <x:v>No model-grade implementation evidence located by cutoff.</x:v>
      </x:c>
      <x:c r="J99" s="82" t="str">
        <x:v>https://nbliberal.ca/platform/</x:v>
      </x:c>
      <x:c r="K99" s="82"/>
      <x:c r="L99" s="82" t="str">
        <x:v>Not specified</x:v>
      </x:c>
      <x:c r="M99" s="82" t="str">
        <x:v>No verified material redesign</x:v>
      </x:c>
      <x:c r="N99" s="82" t="str">
        <x:v>Low / unobserved</x:v>
      </x:c>
      <x:c r="O99" s="96" t="b">
        <x:v>0</x:v>
      </x:c>
      <x:c r="P99" s="82"/>
    </x:row>
    <x:row r="100">
      <x:c r="A100" s="82" t="str">
        <x:v>PLAT-LDR-090-01</x:v>
      </x:c>
      <x:c r="B100" s="82" t="str">
        <x:v>HOLT-2024-P092</x:v>
      </x:c>
      <x:c r="C100" s="82" t="str">
        <x:v>Trusted leadership</x:v>
      </x:c>
      <x:c r="D100" s="82" t="str">
        <x:v>Commit to evidence-based decision-making across all departments.</x:v>
      </x:c>
      <x:c r="E100" s="82" t="str">
        <x:v>NO PUBLIC TRACKER STATUS</x:v>
      </x:c>
      <x:c r="F100" s="82" t="str">
        <x:v>Not verifiable</x:v>
      </x:c>
      <x:c r="G100" s="82" t="str">
        <x:v>Not yet measurable</x:v>
      </x:c>
      <x:c r="H100" s="99"/>
      <x:c r="I100" s="82" t="str">
        <x:v>No model-grade implementation evidence located by cutoff.</x:v>
      </x:c>
      <x:c r="J100" s="82" t="str">
        <x:v>https://nbliberal.ca/platform/</x:v>
      </x:c>
      <x:c r="K100" s="82"/>
      <x:c r="L100" s="82" t="str">
        <x:v>Not specified</x:v>
      </x:c>
      <x:c r="M100" s="82" t="str">
        <x:v>No verified material redesign</x:v>
      </x:c>
      <x:c r="N100" s="82" t="str">
        <x:v>Low / unobserved</x:v>
      </x:c>
      <x:c r="O100" s="96" t="b">
        <x:v>0</x:v>
      </x:c>
      <x:c r="P100" s="82"/>
    </x:row>
    <x:row r="101">
      <x:c r="A101" s="82" t="str">
        <x:v>PLAT-LDR-091-01</x:v>
      </x:c>
      <x:c r="B101" s="82" t="str">
        <x:v>HOLT-2024-P093</x:v>
      </x:c>
      <x:c r="C101" s="82" t="str">
        <x:v>Trusted leadership</x:v>
      </x:c>
      <x:c r="D101" s="82" t="str">
        <x:v>Reform our Right to Information legislation to ensure more accessible and less restrictive access to the public.</x:v>
      </x:c>
      <x:c r="E101" s="82" t="str">
        <x:v>IN PROGRESS</x:v>
      </x:c>
      <x:c r="F101" s="82" t="str">
        <x:v>Design or consultation</x:v>
      </x:c>
      <x:c r="G101" s="82" t="str">
        <x:v>Not yet measurable</x:v>
      </x:c>
      <x:c r="H101" s="99" t="n">
        <x:v>46191.5</x:v>
      </x:c>
      <x:c r="I101" s="82" t="str">
        <x:v>RTIPPA review completed; legislative reform remained in progress at cutoff.</x:v>
      </x:c>
      <x:c r="J101" s="82" t="str">
        <x:v>https://www.gnb.ca/content/dam/GNB3/gov/rtippa-ldipvp/docs/rtippa-review-report.pdf</x:v>
      </x:c>
      <x:c r="K101" s="82"/>
      <x:c r="L101" s="82" t="str">
        <x:v>Not specified</x:v>
      </x:c>
      <x:c r="M101" s="82" t="str">
        <x:v>No verified material redesign</x:v>
      </x:c>
      <x:c r="N101" s="82" t="str">
        <x:v>Moderate</x:v>
      </x:c>
      <x:c r="O101" s="96" t="b">
        <x:v>0</x:v>
      </x:c>
      <x:c r="P101" s="82"/>
    </x:row>
    <x:row r="102">
      <x:c r="A102" s="82" t="str">
        <x:v>PLAT-LDR-092-01</x:v>
      </x:c>
      <x:c r="B102" s="82" t="str">
        <x:v>HOLT-2024-P094</x:v>
      </x:c>
      <x:c r="C102" s="82" t="str">
        <x:v>Trusted leadership</x:v>
      </x:c>
      <x:c r="D102" s="82" t="str">
        <x:v>Modernize and strengthen the lobbyist registry to enhance transparency and accountability.</x:v>
      </x:c>
      <x:c r="E102" s="82" t="str">
        <x:v>IN PROGRESS</x:v>
      </x:c>
      <x:c r="F102" s="82" t="str">
        <x:v>Legislation or authority established</x:v>
      </x:c>
      <x:c r="G102" s="82" t="str">
        <x:v>Not yet measurable</x:v>
      </x:c>
      <x:c r="H102" s="99" t="n">
        <x:v>46185.5</x:v>
      </x:c>
      <x:c r="I102" s="82" t="str">
        <x:v>Lobbyists' Registration Act amendments proposed.</x:v>
      </x:c>
      <x:c r="J102" s="82" t="str">
        <x:v>https://www2.gnb.ca/content/gnb/en/corporate/promo/government-priorities/leadership.html</x:v>
      </x:c>
      <x:c r="K102" s="82"/>
      <x:c r="L102" s="82" t="str">
        <x:v>Not specified</x:v>
      </x:c>
      <x:c r="M102" s="82" t="str">
        <x:v>No verified material redesign</x:v>
      </x:c>
      <x:c r="N102" s="82" t="str">
        <x:v>Moderate</x:v>
      </x:c>
      <x:c r="O102" s="96" t="b">
        <x:v>0</x:v>
      </x:c>
      <x:c r="P102" s="82"/>
    </x:row>
    <x:row r="103">
      <x:c r="A103" s="82" t="str">
        <x:v>PLAT-LDR-093-01</x:v>
      </x:c>
      <x:c r="B103" s="82" t="str">
        <x:v>HOLT-2024-P095</x:v>
      </x:c>
      <x:c r="C103" s="82" t="str">
        <x:v>Trusted leadership</x:v>
      </x:c>
      <x:c r="D103" s="82" t="str">
        <x:v>Strengthen the Public Interest Disclosure Act (Whistleblower Act) to ensure anonymity and employment protections for the whistleblower.</x:v>
      </x:c>
      <x:c r="E103" s="82" t="str">
        <x:v>NO PUBLIC TRACKER STATUS</x:v>
      </x:c>
      <x:c r="F103" s="82" t="str">
        <x:v>Not verifiable</x:v>
      </x:c>
      <x:c r="G103" s="82" t="str">
        <x:v>Not yet measurable</x:v>
      </x:c>
      <x:c r="H103" s="99"/>
      <x:c r="I103" s="82" t="str">
        <x:v>No model-grade implementation evidence located by cutoff.</x:v>
      </x:c>
      <x:c r="J103" s="82" t="str">
        <x:v>https://nbliberal.ca/platform/</x:v>
      </x:c>
      <x:c r="K103" s="82"/>
      <x:c r="L103" s="82" t="str">
        <x:v>Not specified</x:v>
      </x:c>
      <x:c r="M103" s="82" t="str">
        <x:v>No verified material redesign</x:v>
      </x:c>
      <x:c r="N103" s="82" t="str">
        <x:v>Low / unobserved</x:v>
      </x:c>
      <x:c r="O103" s="96" t="b">
        <x:v>0</x:v>
      </x:c>
      <x:c r="P103" s="82"/>
    </x:row>
    <x:row r="104">
      <x:c r="A104" s="82" t="str">
        <x:v>PLAT-LDR-094-01</x:v>
      </x:c>
      <x:c r="B104" s="82" t="str">
        <x:v>HOLT-2024-P096</x:v>
      </x:c>
      <x:c r="C104" s="82" t="str">
        <x:v>Trusted leadership</x:v>
      </x:c>
      <x:c r="D104" s="82" t="str">
        <x:v>Operate under an ‘open by default’ principle and improve open data across government.</x:v>
      </x:c>
      <x:c r="E104" s="82" t="str">
        <x:v>IN PROGRESS</x:v>
      </x:c>
      <x:c r="F104" s="82" t="str">
        <x:v>Operational implementation begun</x:v>
      </x:c>
      <x:c r="G104" s="82" t="str">
        <x:v>Not yet measurable</x:v>
      </x:c>
      <x:c r="H104" s="99"/>
      <x:c r="I104" s="82" t="str">
        <x:v>No model-grade implementation evidence located by cutoff.</x:v>
      </x:c>
      <x:c r="J104" s="82" t="str">
        <x:v>https://nbliberal.ca/platform/</x:v>
      </x:c>
      <x:c r="K104" s="82"/>
      <x:c r="L104" s="82" t="str">
        <x:v>Not specified</x:v>
      </x:c>
      <x:c r="M104" s="82" t="str">
        <x:v>No verified material redesign</x:v>
      </x:c>
      <x:c r="N104" s="82" t="str">
        <x:v>Moderate</x:v>
      </x:c>
      <x:c r="O104" s="96" t="b">
        <x:v>0</x:v>
      </x:c>
      <x:c r="P104" s="82"/>
    </x:row>
    <x:row r="105">
      <x:c r="A105" s="82" t="str">
        <x:v>PLAT-LDR-095-01</x:v>
      </x:c>
      <x:c r="B105" s="82" t="str">
        <x:v>HOLT-2024-P097</x:v>
      </x:c>
      <x:c r="C105" s="82" t="str">
        <x:v>Trusted leadership</x:v>
      </x:c>
      <x:c r="D105" s="82" t="str">
        <x:v>Ensure our legislative assembly and its practices are modern and fit for purpose including set calendars, remote participation, and modernizing committee work.</x:v>
      </x:c>
      <x:c r="E105" s="82" t="str">
        <x:v>IN PROGRESS</x:v>
      </x:c>
      <x:c r="F105" s="82" t="str">
        <x:v>Legislation or authority established</x:v>
      </x:c>
      <x:c r="G105" s="82" t="str">
        <x:v>Not yet measurable</x:v>
      </x:c>
      <x:c r="H105" s="99" t="n">
        <x:v>45812.5</x:v>
      </x:c>
      <x:c r="I105" s="82" t="str">
        <x:v>Standing Rules amended to establish a more permanent sitting calendar.</x:v>
      </x:c>
      <x:c r="J105" s="82" t="str">
        <x:v>https://www2.gnb.ca/content/gnb/en/corporate/promo/government-priorities/leadership.html</x:v>
      </x:c>
      <x:c r="K105" s="82"/>
      <x:c r="L105" s="82" t="str">
        <x:v>Not specified</x:v>
      </x:c>
      <x:c r="M105" s="82" t="str">
        <x:v>No verified material redesign</x:v>
      </x:c>
      <x:c r="N105" s="82" t="str">
        <x:v>Moderate</x:v>
      </x:c>
      <x:c r="O105" s="96" t="b">
        <x:v>0</x:v>
      </x:c>
      <x:c r="P105" s="82"/>
    </x:row>
    <x:row r="106">
      <x:c r="A106" s="82" t="str">
        <x:v>PLAT-LDR-096-01</x:v>
      </x:c>
      <x:c r="B106" s="82" t="str">
        <x:v>HOLT-2024-P098</x:v>
      </x:c>
      <x:c r="C106" s="82" t="str">
        <x:v>Trusted leadership</x:v>
      </x:c>
      <x:c r="D106" s="82" t="str">
        <x:v>Ban out-of-province political donations to increase trust in our political parties.</x:v>
      </x:c>
      <x:c r="E106" s="82" t="str">
        <x:v>NO PUBLIC TRACKER STATUS</x:v>
      </x:c>
      <x:c r="F106" s="82" t="str">
        <x:v>Not verifiable</x:v>
      </x:c>
      <x:c r="G106" s="82" t="str">
        <x:v>Not yet measurable</x:v>
      </x:c>
      <x:c r="H106" s="99"/>
      <x:c r="I106" s="82" t="str">
        <x:v>No model-grade implementation evidence located by cutoff.</x:v>
      </x:c>
      <x:c r="J106" s="82" t="str">
        <x:v>https://nbliberal.ca/platform/</x:v>
      </x:c>
      <x:c r="K106" s="82"/>
      <x:c r="L106" s="82" t="str">
        <x:v>Not specified</x:v>
      </x:c>
      <x:c r="M106" s="82" t="str">
        <x:v>No verified material redesign</x:v>
      </x:c>
      <x:c r="N106" s="82" t="str">
        <x:v>Low / unobserved</x:v>
      </x:c>
      <x:c r="O106" s="96" t="b">
        <x:v>0</x:v>
      </x:c>
      <x:c r="P106" s="82"/>
    </x:row>
    <x:row r="107">
      <x:c r="A107" s="82" t="str">
        <x:v>PLAT-LDR-097-01</x:v>
      </x:c>
      <x:c r="B107" s="82" t="str">
        <x:v>HOLT-2024-P099</x:v>
      </x:c>
      <x:c r="C107" s="82" t="str">
        <x:v>Trusted leadership</x:v>
      </x:c>
      <x:c r="D107" s="82" t="str">
        <x:v>Immediately review the recommendations of the 2024 reports from the Office of the Child Youth, and Seniors’ Advocate and make progress towards fixing our social policy capacity and making New Brunswick children and seniors more safe and secure.</x:v>
      </x:c>
      <x:c r="E107" s="82" t="str">
        <x:v>IN PROGRESS</x:v>
      </x:c>
      <x:c r="F107" s="82" t="str">
        <x:v>Design or consultation</x:v>
      </x:c>
      <x:c r="G107" s="82" t="str">
        <x:v>Not yet measurable</x:v>
      </x:c>
      <x:c r="H107" s="99"/>
      <x:c r="I107" s="82" t="str">
        <x:v>No model-grade implementation evidence located by cutoff.</x:v>
      </x:c>
      <x:c r="J107" s="82" t="str">
        <x:v>https://nbliberal.ca/platform/</x:v>
      </x:c>
      <x:c r="K107" s="82"/>
      <x:c r="L107" s="82" t="str">
        <x:v>Not specified</x:v>
      </x:c>
      <x:c r="M107" s="82" t="str">
        <x:v>No verified material redesign</x:v>
      </x:c>
      <x:c r="N107" s="82" t="str">
        <x:v>Moderate</x:v>
      </x:c>
      <x:c r="O107" s="96" t="b">
        <x:v>0</x:v>
      </x:c>
      <x:c r="P107" s="82"/>
    </x:row>
    <x:row r="108">
      <x:c r="A108" s="82" t="str">
        <x:v>PLAT-LDR-098-01</x:v>
      </x:c>
      <x:c r="B108" s="82" t="str">
        <x:v>HOLT-2024-P100</x:v>
      </x:c>
      <x:c r="C108" s="82" t="str">
        <x:v>Trusted leadership</x:v>
      </x:c>
      <x:c r="D108" s="82" t="str">
        <x:v>Work with municipalities to implement comprehensive and fair fiscal reform.</x:v>
      </x:c>
      <x:c r="E108" s="82" t="str">
        <x:v>COMPLETE</x:v>
      </x:c>
      <x:c r="F108" s="82" t="str">
        <x:v>Legislation or authority established</x:v>
      </x:c>
      <x:c r="G108" s="82" t="str">
        <x:v>Not yet measurable</x:v>
      </x:c>
      <x:c r="H108" s="99" t="n">
        <x:v>45784.5</x:v>
      </x:c>
      <x:c r="I108" s="82" t="str">
        <x:v>Community Funding Act amendments created a new municipal funding model.</x:v>
      </x:c>
      <x:c r="J108" s="82" t="str">
        <x:v>https://www2.gnb.ca/content/gnb/en/corporate/promo/government-priorities/leadership.html</x:v>
      </x:c>
      <x:c r="K108" s="82"/>
      <x:c r="L108" s="82" t="str">
        <x:v>Not specified</x:v>
      </x:c>
      <x:c r="M108" s="82" t="str">
        <x:v>No verified material redesign</x:v>
      </x:c>
      <x:c r="N108" s="82" t="str">
        <x:v>Moderate</x:v>
      </x:c>
      <x:c r="O108" s="96" t="b">
        <x:v>0</x:v>
      </x:c>
      <x:c r="P108" s="82"/>
    </x:row>
    <x:row r="109">
      <x:c r="A109" s="82" t="str">
        <x:v>PLAT-LDR-099-01</x:v>
      </x:c>
      <x:c r="B109" s="82" t="str">
        <x:v>HOLT-2024-P101</x:v>
      </x:c>
      <x:c r="C109" s="82" t="str">
        <x:v>Trusted leadership</x:v>
      </x:c>
      <x:c r="D109" s="82" t="str">
        <x:v>Make our public health office independent to ensure unbiased and evidenced-based decision-making and research are communicated to all New Brunswickers.</x:v>
      </x:c>
      <x:c r="E109" s="82" t="str">
        <x:v>COMPLETE</x:v>
      </x:c>
      <x:c r="F109" s="82" t="str">
        <x:v>Legislation or authority established</x:v>
      </x:c>
      <x:c r="G109" s="82" t="str">
        <x:v>Not yet measurable</x:v>
      </x:c>
      <x:c r="H109" s="99" t="n">
        <x:v>45952.5</x:v>
      </x:c>
      <x:c r="I109" s="82" t="str">
        <x:v>Legislation enhanced Chief Medical Officer of Health independence.</x:v>
      </x:c>
      <x:c r="J109" s="82" t="str">
        <x:v>https://www2.gnb.ca/content/gnb/en/corporate/promo/government-priorities/leadership.html</x:v>
      </x:c>
      <x:c r="K109" s="82"/>
      <x:c r="L109" s="82" t="str">
        <x:v>Not specified</x:v>
      </x:c>
      <x:c r="M109" s="82" t="str">
        <x:v>No verified material redesign</x:v>
      </x:c>
      <x:c r="N109" s="82" t="str">
        <x:v>Moderate</x:v>
      </x:c>
      <x:c r="O109" s="96" t="b">
        <x:v>0</x:v>
      </x:c>
      <x:c r="P109" s="82"/>
    </x:row>
    <x:row r="110">
      <x:c r="A110" s="82" t="str">
        <x:v>PLAT-LDR-100-01</x:v>
      </x:c>
      <x:c r="B110" s="82" t="str">
        <x:v>HOLT-2024-P102</x:v>
      </x:c>
      <x:c r="C110" s="82" t="str">
        <x:v>Trusted leadership</x:v>
      </x:c>
      <x:c r="D110" s="82" t="str">
        <x:v>Commit to rebuilding relationships with First Nations based on a nation-to-nation relationship that establishes trust and a shared understanding of treaty obligations. We will renegotiate tax agreements to ensure all parties have a fair deal.</x:v>
      </x:c>
      <x:c r="E110" s="82" t="str">
        <x:v>COMPLETE</x:v>
      </x:c>
      <x:c r="F110" s="82" t="str">
        <x:v>Fully operational at the promised scale</x:v>
      </x:c>
      <x:c r="G110" s="82" t="str">
        <x:v>Operational output verified; effectiveness may remain untested</x:v>
      </x:c>
      <x:c r="H110" s="99" t="n">
        <x:v>45925.5</x:v>
      </x:c>
      <x:c r="I110" s="82" t="str">
        <x:v>Revenue-sharing agreements signed with Wolastoqey and Mi'kmaq communities.</x:v>
      </x:c>
      <x:c r="J110" s="82" t="str">
        <x:v>https://www2.gnb.ca/content/gnb/en/corporate/promo/government-priorities/leadership.html</x:v>
      </x:c>
      <x:c r="K110" s="82"/>
      <x:c r="L110" s="82" t="str">
        <x:v>Not specified</x:v>
      </x:c>
      <x:c r="M110" s="82" t="str">
        <x:v>No verified material redesign</x:v>
      </x:c>
      <x:c r="N110" s="82" t="str">
        <x:v>Moderate</x:v>
      </x:c>
      <x:c r="O110" s="96" t="b">
        <x:v>0</x:v>
      </x:c>
      <x:c r="P110" s="82"/>
    </x:row>
    <x:row r="111">
      <x:c r="A111" s="82" t="str">
        <x:v>PLAT-LDR-101-01</x:v>
      </x:c>
      <x:c r="B111" s="82" t="str">
        <x:v>HOLT-2024-P103</x:v>
      </x:c>
      <x:c r="C111" s="82" t="str">
        <x:v>Trusted leadership</x:v>
      </x:c>
      <x:c r="D111" s="82" t="str">
        <x:v>Appoint a Deputy Minister to lead the Official Languages Secretariat, establish a Standing Committee on Official Languages, and implement recommendations of the McLaughlin/Finn report.</x:v>
      </x:c>
      <x:c r="E111" s="82" t="str">
        <x:v>IN PROGRESS</x:v>
      </x:c>
      <x:c r="F111" s="82" t="str">
        <x:v>Legislation or authority established</x:v>
      </x:c>
      <x:c r="G111" s="82" t="str">
        <x:v>Not yet measurable</x:v>
      </x:c>
      <x:c r="H111" s="99" t="n">
        <x:v>46185.5</x:v>
      </x:c>
      <x:c r="I111" s="82" t="str">
        <x:v>Deputy-minister responsibility and legislative committee established; Act review continues.</x:v>
      </x:c>
      <x:c r="J111" s="82" t="str">
        <x:v>https://www2.gnb.ca/content/gnb/en/corporate/promo/government-priorities/leadership.html</x:v>
      </x:c>
      <x:c r="K111" s="82"/>
      <x:c r="L111" s="82" t="str">
        <x:v>Not specified</x:v>
      </x:c>
      <x:c r="M111" s="82" t="str">
        <x:v>No verified material redesign</x:v>
      </x:c>
      <x:c r="N111" s="82" t="str">
        <x:v>Moderate</x:v>
      </x:c>
      <x:c r="O111" s="96" t="b">
        <x:v>0</x:v>
      </x:c>
      <x:c r="P111" s="82"/>
    </x:row>
    <x:row r="112">
      <x:c r="A112" s="83" t="str">
        <x:v>PLAT-LDR-102-01</x:v>
      </x:c>
      <x:c r="B112" s="83" t="str">
        <x:v>HOLT-2024-P104</x:v>
      </x:c>
      <x:c r="C112" s="83" t="str">
        <x:v>Trusted leadership</x:v>
      </x:c>
      <x:c r="D112" s="83" t="str">
        <x:v>Immediately review and respond to the Systemic Racism Commissioner’s Final Report, working on a timely plan to implement its recommendations.</x:v>
      </x:c>
      <x:c r="E112" s="83" t="str">
        <x:v>COMPLETE</x:v>
      </x:c>
      <x:c r="F112" s="83" t="str">
        <x:v>Design or consultation</x:v>
      </x:c>
      <x:c r="G112" s="83" t="str">
        <x:v>Not yet measurable</x:v>
      </x:c>
      <x:c r="H112" s="100" t="n">
        <x:v>46185.5</x:v>
      </x:c>
      <x:c r="I112" s="83" t="str">
        <x:v>Government released a plan to address racism; implementation outcomes not yet measured.</x:v>
      </x:c>
      <x:c r="J112" s="83" t="str">
        <x:v>https://www2.gnb.ca/content/gnb/en/corporate/promo/government-priorities/leadership.html</x:v>
      </x:c>
      <x:c r="K112" s="83"/>
      <x:c r="L112" s="83" t="str">
        <x:v>Not specified</x:v>
      </x:c>
      <x:c r="M112" s="83" t="str">
        <x:v>No verified material redesign</x:v>
      </x:c>
      <x:c r="N112" s="83" t="str">
        <x:v>Moderate</x:v>
      </x:c>
      <x:c r="O112" s="97" t="b">
        <x:v>0</x:v>
      </x:c>
      <x:c r="P112" s="83"/>
    </x:row>
  </x:sheetData>
  <x:mergeCells>
    <x:mergeCell ref="A1:P1"/>
    <x:mergeCell ref="A2:P2"/>
  </x:mergeCells>
  <x:conditionalFormatting sqref="E5:F112">
    <x:cfRule type="expression" dxfId="0" priority="1">
      <x:formula>OR(ISNUMBER(SEARCH("GREEN",E5)),ISNUMBER(SEARCH("SUPPORTED",E5)),ISNUMBER(SEARCH("COMPLETE",E5)))</x:formula>
    </x:cfRule>
    <x:cfRule type="expression" dxfId="1" priority="2">
      <x:formula>OR(ISNUMBER(SEARCH("RED",E5)),ISNUMBER(SEARCH("MISSED",E5)),ISNUMBER(SEARCH("NOT SUPPORTED",E5)))</x:formula>
    </x:cfRule>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8" hidden="0" customWidth="1"/>
    <x:col min="2" max="2" width="42" hidden="0" customWidth="1"/>
    <x:col min="3" max="3" width="46" hidden="0" customWidth="1"/>
    <x:col min="4" max="4" width="54" hidden="0" customWidth="1"/>
    <x:col min="5" max="5" width="62" hidden="0" customWidth="1"/>
    <x:col min="6" max="6" width="62" hidden="0" customWidth="1"/>
    <x:col min="7" max="7" width="45" hidden="0" customWidth="1"/>
    <x:col min="8" max="8" width="34" hidden="0" customWidth="1"/>
    <x:col min="9" max="9" width="46" hidden="0" customWidth="1"/>
    <x:col min="10" max="10" width="45" hidden="0" customWidth="1"/>
    <x:col min="11" max="11" width="22" hidden="0" customWidth="1"/>
  </x:cols>
  <x:sheetData>
    <x:row r="1" ht="30" customHeight="1">
      <x:c r="A1" s="182" t="str">
        <x:v>Five flagship signal-chain audits</x:v>
      </x:c>
      <x:c r="B1" s="182" t="str">
        <x:v>Five flagship signal-chain audits</x:v>
      </x:c>
      <x:c r="C1" s="182" t="str">
        <x:v>Five flagship signal-chain audits</x:v>
      </x:c>
      <x:c r="D1" s="182" t="str">
        <x:v>Five flagship signal-chain audits</x:v>
      </x:c>
      <x:c r="E1" s="182" t="str">
        <x:v>Five flagship signal-chain audits</x:v>
      </x:c>
      <x:c r="F1" s="182" t="str">
        <x:v>Five flagship signal-chain audits</x:v>
      </x:c>
      <x:c r="G1" s="182" t="str">
        <x:v>Five flagship signal-chain audits</x:v>
      </x:c>
      <x:c r="H1" s="182" t="str">
        <x:v>Five flagship signal-chain audits</x:v>
      </x:c>
      <x:c r="I1" s="182" t="str">
        <x:v>Five flagship signal-chain audits</x:v>
      </x:c>
      <x:c r="J1" s="182" t="str">
        <x:v>Five flagship signal-chain audits</x:v>
      </x:c>
      <x:c r="K1" s="182" t="str">
        <x:v>Five flagship signal-chain audits</x:v>
      </x:c>
    </x:row>
    <x:row r="2" ht="26" customHeight="1">
      <x:c r="A2" s="183" t="str">
        <x:v>Selection was pre-specified by prominence, fiscal scale, salience and expected lag. Outputs and outcomes remain distinct.</x:v>
      </x:c>
      <x:c r="B2" s="183" t="str">
        <x:v>Selection was pre-specified by prominence, fiscal scale, salience and expected lag. Outputs and outcomes remain distinct.</x:v>
      </x:c>
      <x:c r="C2" s="183" t="str">
        <x:v>Selection was pre-specified by prominence, fiscal scale, salience and expected lag. Outputs and outcomes remain distinct.</x:v>
      </x:c>
      <x:c r="D2" s="183" t="str">
        <x:v>Selection was pre-specified by prominence, fiscal scale, salience and expected lag. Outputs and outcomes remain distinct.</x:v>
      </x:c>
      <x:c r="E2" s="183" t="str">
        <x:v>Selection was pre-specified by prominence, fiscal scale, salience and expected lag. Outputs and outcomes remain distinct.</x:v>
      </x:c>
      <x:c r="F2" s="183" t="str">
        <x:v>Selection was pre-specified by prominence, fiscal scale, salience and expected lag. Outputs and outcomes remain distinct.</x:v>
      </x:c>
      <x:c r="G2" s="183" t="str">
        <x:v>Selection was pre-specified by prominence, fiscal scale, salience and expected lag. Outputs and outcomes remain distinct.</x:v>
      </x:c>
      <x:c r="H2" s="183" t="str">
        <x:v>Selection was pre-specified by prominence, fiscal scale, salience and expected lag. Outputs and outcomes remain distinct.</x:v>
      </x:c>
      <x:c r="I2" s="183" t="str">
        <x:v>Selection was pre-specified by prominence, fiscal scale, salience and expected lag. Outputs and outcomes remain distinct.</x:v>
      </x:c>
      <x:c r="J2" s="183" t="str">
        <x:v>Selection was pre-specified by prominence, fiscal scale, salience and expected lag. Outputs and outcomes remain distinct.</x:v>
      </x:c>
      <x:c r="K2" s="183" t="str">
        <x:v>Selection was pre-specified by prominence, fiscal scale, salience and expected lag. Outputs and outcomes remain distinct.</x:v>
      </x:c>
    </x:row>
    <x:row r="3">
      <x:c r="A3" s="184"/>
      <x:c r="B3" s="184"/>
      <x:c r="C3" s="184"/>
      <x:c r="D3" s="184"/>
      <x:c r="E3" s="184"/>
      <x:c r="F3" s="184"/>
      <x:c r="G3" s="184"/>
      <x:c r="H3" s="184"/>
      <x:c r="I3" s="184"/>
      <x:c r="J3" s="184"/>
      <x:c r="K3" s="184"/>
    </x:row>
    <x:row r="4" ht="30" customHeight="1">
      <x:c r="A4" s="206" t="str">
        <x:v>Policy</x:v>
      </x:c>
      <x:c r="B4" s="207" t="str">
        <x:v>Selection rule</x:v>
      </x:c>
      <x:c r="C4" s="207" t="str">
        <x:v>Promise</x:v>
      </x:c>
      <x:c r="D4" s="207" t="str">
        <x:v>Inputs/authority</x:v>
      </x:c>
      <x:c r="E4" s="207" t="str">
        <x:v>Verified output</x:v>
      </x:c>
      <x:c r="F4" s="207" t="str">
        <x:v>Population outcome</x:v>
      </x:c>
      <x:c r="G4" s="207" t="str">
        <x:v>Control/lag</x:v>
      </x:c>
      <x:c r="H4" s="207" t="str">
        <x:v>Public perception</x:v>
      </x:c>
      <x:c r="I4" s="207" t="str">
        <x:v>Earliest break</x:v>
      </x:c>
      <x:c r="J4" s="207" t="str">
        <x:v>Verdict</x:v>
      </x:c>
      <x:c r="K4" s="208" t="str">
        <x:v>Sources</x:v>
      </x:c>
    </x:row>
    <x:row r="5">
      <x:c r="A5" s="81" t="str">
        <x:v>Collaborative primary care</x:v>
      </x:c>
      <x:c r="B5" s="81" t="str">
        <x:v>Largest recurring priority; highest-salience issue; long expected outcome lag</x:v>
      </x:c>
      <x:c r="C5" s="81" t="str">
        <x:v>30 collaborative care clinics by end-2028 with team and administrative support</x:v>
      </x:c>
      <x:c r="D5" s="81" t="str">
        <x:v>$30m in each of 2025-26 and 2026-27; $170.4m physician agreement; $50m digital modernization</x:v>
      </x:c>
      <x:c r="E5" s="81" t="str">
        <x:v>15 clinics announced by 2026-05-04; 14 clinics reported 6,853 additional attachments and 22,204 expected; 67 net new physicians in 2025-26</x:v>
      </x:c>
      <x:c r="F5" s="81" t="str">
        <x:v>Permanent-provider access fell from 77% in 2024 to 73% in 2025; timely access 34%; non-urgent ED visits about 52%</x:v>
      </x:c>
      <x:c r="G5" s="81" t="str">
        <x:v>High control over clinic design and funding; shared and lagged control over system access</x:v>
      </x:c>
      <x:c r="H5" s="81" t="str">
        <x:v>29% approve of health handling in Aug. 2026</x:v>
      </x:c>
      <x:c r="I5" s="81" t="str">
        <x:v>Outputs have not yet produced province-wide access improvement or public confidence</x:v>
      </x:c>
      <x:c r="J5" s="84" t="str">
        <x:v>Implementation advancing; policy effectiveness not yet established</x:v>
      </x:c>
      <x:c r="K5" s="81" t="str">
        <x:v>S15;S16;S17;S18;S06</x:v>
      </x:c>
    </x:row>
    <x:row r="6">
      <x:c r="A6" s="82" t="str">
        <x:v>Household affordability</x:v>
      </x:c>
      <x:c r="B6" s="82" t="str">
        <x:v>Highest-salience issue; short expected benefit lag</x:v>
      </x:c>
      <x:c r="C6" s="82" t="str">
        <x:v>Electricity rebate, carbon-adjuster removal and rent cap</x:v>
      </x:c>
      <x:c r="D6" s="82" t="str">
        <x:v>Legislation and administrative rebate mechanisms implemented</x:v>
      </x:c>
      <x:c r="E6" s="82" t="str">
        <x:v>10% rebate on eligible electricity consumption; carbon-adjuster removal effective Dec. 2025; 3% annual rent cap</x:v>
      </x:c>
      <x:c r="F6" s="82" t="str">
        <x:v>Average electricity rebate estimated at $216, but NB Power residential rates rose 9.7% in Apr. 2025 and all-class rates 4.29% in Apr. 2026; CPI 2025 1.7%, food 3.1%, shelter 2.9%</x:v>
      </x:c>
      <x:c r="G6" s="82" t="str">
        <x:v>High control over provincial instruments; low control over total cost of living</x:v>
      </x:c>
      <x:c r="H6" s="82" t="str">
        <x:v>25% approve of cost-of-living handling</x:v>
      </x:c>
      <x:c r="I6" s="82" t="str">
        <x:v>Benefit size and lived household costs, followed by attribution</x:v>
      </x:c>
      <x:c r="J6" s="85" t="str">
        <x:v>Policies operational; net household effect and adequacy mixed</x:v>
      </x:c>
      <x:c r="K6" s="82" t="str">
        <x:v>S10;S32;S33;S06</x:v>
      </x:c>
    </x:row>
    <x:row r="7">
      <x:c r="A7" s="82" t="str">
        <x:v>Housing supply and homelessness</x:v>
      </x:c>
      <x:c r="B7" s="82" t="str">
        <x:v>Top-three public issue; large fiscal and outcome commitment</x:v>
      </x:c>
      <x:c r="C7" s="82" t="str">
        <x:v>30,000 homes by 2030, affordable housing growth and housing-first services</x:v>
      </x:c>
      <x:c r="D7" s="82" t="str">
        <x:v>Tax relief, housing programs, non-profit grants and homelessness strategy</x:v>
      </x:c>
      <x:c r="E7" s="82" t="str">
        <x:v>Total starts 6,169 in 2024 to 7,587 in 2025; 343 affordable starts vs 59/year baseline; 194 affordable starts Jan-Mar 2026</x:v>
      </x:c>
      <x:c r="F7" s="82" t="str">
        <x:v>Tracked chronic homelessness fell from 1,050 in 2024 to 996 Dec. 2025 and 932 May 2026, with denominator/wording cautions</x:v>
      </x:c>
      <x:c r="G7" s="82" t="str">
        <x:v>Shared control; starts are leading indicators, not completions or affordability</x:v>
      </x:c>
      <x:c r="H7" s="82" t="str">
        <x:v>29% approve of housing handling</x:v>
      </x:c>
      <x:c r="I7" s="82" t="str">
        <x:v>Starts have not yet become completed, affordable lived supply or broad credit</x:v>
      </x:c>
      <x:c r="J7" s="85" t="str">
        <x:v>Strong leading outputs; final affordability outcome not established</x:v>
      </x:c>
      <x:c r="K7" s="82" t="str">
        <x:v>S10;S06</x:v>
      </x:c>
    </x:row>
    <x:row r="8">
      <x:c r="A8" s="82" t="str">
        <x:v>Universal school food</x:v>
      </x:c>
      <x:c r="B8" s="82" t="str">
        <x:v>Recognizable flagship; breakfast short lag, lunch medium lag</x:v>
      </x:c>
      <x:c r="C8" s="82" t="str">
        <x:v>Universal free breakfast and pay-what-you-can lunch</x:v>
      </x:c>
      <x:c r="D8" s="82" t="str">
        <x:v>$13m combined breakfast investment; $26m lunch budget</x:v>
      </x:c>
      <x:c r="E8" s="82" t="str">
        <x:v>Breakfast expanded from 136 baseline schools to all schools in Sept. 2025; lunch launch scheduled Sept. 2026</x:v>
      </x:c>
      <x:c r="F8" s="82" t="str">
        <x:v>Participation, food-security, attendance and learning effects not yet published</x:v>
      </x:c>
      <x:c r="G8" s="82" t="str">
        <x:v>High delivery control; education and food-security outcomes lag</x:v>
      </x:c>
      <x:c r="H8" s="82" t="str">
        <x:v>No policy-specific awareness or attribution poll</x:v>
      </x:c>
      <x:c r="I8" s="82" t="str">
        <x:v>Reach and outcome measurement; lunch timing also slipped</x:v>
      </x:c>
      <x:c r="J8" s="85" t="str">
        <x:v>Breakfast operational; lunch not operational by cutoff; outcomes unknown</x:v>
      </x:c>
      <x:c r="K8" s="82" t="str">
        <x:v>S13;S34;S35</x:v>
      </x:c>
    </x:row>
    <x:row r="9">
      <x:c r="A9" s="83" t="str">
        <x:v>Balanced budgets</x:v>
      </x:c>
      <x:c r="B9" s="83" t="str">
        <x:v>Explicit annual outcome promise; largest fiscal credibility test</x:v>
      </x:c>
      <x:c r="C9" s="83" t="str">
        <x:v>Balance the budget in each year of the mandate</x:v>
      </x:c>
      <x:c r="D9" s="83" t="str">
        <x:v>Budget and expenditure decisions within government control, subject to economic and service pressures</x:v>
      </x:c>
      <x:c r="E9" s="83" t="str">
        <x:v>No credible path to annual balance published at cutoff; 12% Part I reduction announced</x:v>
      </x:c>
      <x:c r="F9" s="83" t="str">
        <x:v>$104.4m 2024-25 deficit; $1.33b projected 2025-26 deficit; $1.39b budgeted 2026-27 deficit</x:v>
      </x:c>
      <x:c r="G9" s="83" t="str">
        <x:v>High policy control; inherited 2024-25 year partly predates government, later deficits do not</x:v>
      </x:c>
      <x:c r="H9" s="83" t="str">
        <x:v>27% approve of budget management; 23% of spending taxpayer money</x:v>
      </x:c>
      <x:c r="I9" s="83" t="str">
        <x:v>Promise-to-fiscal-plan consistency</x:v>
      </x:c>
      <x:c r="J9" s="86" t="str">
        <x:v>Clear promise miss/off trajectory</x:v>
      </x:c>
      <x:c r="K9" s="83" t="str">
        <x:v>S19;S20;S21;S06;S22</x:v>
      </x:c>
    </x:row>
  </x:sheetData>
  <x:mergeCells>
    <x:mergeCell ref="A1:K1"/>
    <x:mergeCell ref="A2:K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44" hidden="0" customWidth="1"/>
    <x:col min="3" max="3" width="16" hidden="0" customWidth="1"/>
    <x:col min="4" max="4" width="30" hidden="0" customWidth="1"/>
    <x:col min="5" max="5" width="16" hidden="0" customWidth="1"/>
    <x:col min="6" max="6" width="22" hidden="0" customWidth="1"/>
    <x:col min="7" max="7" width="22" hidden="0" customWidth="1"/>
    <x:col min="8" max="8" width="14" hidden="0" customWidth="1"/>
    <x:col min="9" max="9" width="16" hidden="0" customWidth="1"/>
    <x:col min="10" max="10" width="36" hidden="0" customWidth="1"/>
    <x:col min="11" max="11" width="26" hidden="0" customWidth="1"/>
    <x:col min="12" max="12" width="44" hidden="0" customWidth="1"/>
    <x:col min="13" max="13" width="18" hidden="0" customWidth="1"/>
  </x:cols>
  <x:sheetData>
    <x:row r="1" ht="30" customHeight="1">
      <x:c r="A1" s="182" t="str">
        <x:v>Outcome and leading-indicator dashboard</x:v>
      </x:c>
      <x:c r="B1" s="182" t="str">
        <x:v>Outcome and leading-indicator dashboard</x:v>
      </x:c>
      <x:c r="C1" s="182" t="str">
        <x:v>Outcome and leading-indicator dashboard</x:v>
      </x:c>
      <x:c r="D1" s="182" t="str">
        <x:v>Outcome and leading-indicator dashboard</x:v>
      </x:c>
      <x:c r="E1" s="182" t="str">
        <x:v>Outcome and leading-indicator dashboard</x:v>
      </x:c>
      <x:c r="F1" s="182" t="str">
        <x:v>Outcome and leading-indicator dashboard</x:v>
      </x:c>
      <x:c r="G1" s="182" t="str">
        <x:v>Outcome and leading-indicator dashboard</x:v>
      </x:c>
      <x:c r="H1" s="182" t="str">
        <x:v>Outcome and leading-indicator dashboard</x:v>
      </x:c>
      <x:c r="I1" s="182" t="str">
        <x:v>Outcome and leading-indicator dashboard</x:v>
      </x:c>
      <x:c r="J1" s="182" t="str">
        <x:v>Outcome and leading-indicator dashboard</x:v>
      </x:c>
      <x:c r="K1" s="182" t="str">
        <x:v>Outcome and leading-indicator dashboard</x:v>
      </x:c>
      <x:c r="L1" s="182" t="str">
        <x:v>Outcome and leading-indicator dashboard</x:v>
      </x:c>
      <x:c r="M1" s="182" t="str">
        <x:v>Outcome and leading-indicator dashboard</x:v>
      </x:c>
    </x:row>
    <x:row r="2" ht="26" customHeight="1">
      <x:c r="A2" s="183" t="str">
        <x:v>Change is descriptive; no causal attribution is made without a credible counterfactual. Units differ across rows and should not be averaged.</x:v>
      </x:c>
      <x:c r="B2" s="183" t="str">
        <x:v>Change is descriptive; no causal attribution is made without a credible counterfactual. Units differ across rows and should not be averaged.</x:v>
      </x:c>
      <x:c r="C2" s="183" t="str">
        <x:v>Change is descriptive; no causal attribution is made without a credible counterfactual. Units differ across rows and should not be averaged.</x:v>
      </x:c>
      <x:c r="D2" s="183" t="str">
        <x:v>Change is descriptive; no causal attribution is made without a credible counterfactual. Units differ across rows and should not be averaged.</x:v>
      </x:c>
      <x:c r="E2" s="183" t="str">
        <x:v>Change is descriptive; no causal attribution is made without a credible counterfactual. Units differ across rows and should not be averaged.</x:v>
      </x:c>
      <x:c r="F2" s="183" t="str">
        <x:v>Change is descriptive; no causal attribution is made without a credible counterfactual. Units differ across rows and should not be averaged.</x:v>
      </x:c>
      <x:c r="G2" s="183" t="str">
        <x:v>Change is descriptive; no causal attribution is made without a credible counterfactual. Units differ across rows and should not be averaged.</x:v>
      </x:c>
      <x:c r="H2" s="183" t="str">
        <x:v>Change is descriptive; no causal attribution is made without a credible counterfactual. Units differ across rows and should not be averaged.</x:v>
      </x:c>
      <x:c r="I2" s="183" t="str">
        <x:v>Change is descriptive; no causal attribution is made without a credible counterfactual. Units differ across rows and should not be averaged.</x:v>
      </x:c>
      <x:c r="J2" s="183" t="str">
        <x:v>Change is descriptive; no causal attribution is made without a credible counterfactual. Units differ across rows and should not be averaged.</x:v>
      </x:c>
      <x:c r="K2" s="183" t="str">
        <x:v>Change is descriptive; no causal attribution is made without a credible counterfactual. Units differ across rows and should not be averaged.</x:v>
      </x:c>
      <x:c r="L2" s="183" t="str">
        <x:v>Change is descriptive; no causal attribution is made without a credible counterfactual. Units differ across rows and should not be averaged.</x:v>
      </x:c>
      <x:c r="M2" s="183" t="str">
        <x:v>Change is descriptive; no causal attribution is made without a credible counterfactual. Units differ across rows and should not be averaged.</x:v>
      </x:c>
    </x:row>
    <x:row r="3">
      <x:c r="A3" s="184"/>
      <x:c r="B3" s="184"/>
      <x:c r="C3" s="184"/>
      <x:c r="D3" s="184"/>
      <x:c r="E3" s="184"/>
      <x:c r="F3" s="184"/>
      <x:c r="G3" s="184"/>
      <x:c r="H3" s="184"/>
      <x:c r="I3" s="184"/>
      <x:c r="J3" s="184"/>
      <x:c r="K3" s="184"/>
      <x:c r="L3" s="184"/>
      <x:c r="M3" s="184"/>
    </x:row>
    <x:row r="4" ht="30" customHeight="1">
      <x:c r="A4" s="206" t="str">
        <x:v>Domain</x:v>
      </x:c>
      <x:c r="B4" s="207" t="str">
        <x:v>Indicator</x:v>
      </x:c>
      <x:c r="C4" s="207" t="str">
        <x:v>Baseline</x:v>
      </x:c>
      <x:c r="D4" s="207" t="str">
        <x:v>Baseline period</x:v>
      </x:c>
      <x:c r="E4" s="207" t="str">
        <x:v>Latest</x:v>
      </x:c>
      <x:c r="F4" s="207" t="str">
        <x:v>Latest period</x:v>
      </x:c>
      <x:c r="G4" s="207" t="str">
        <x:v>Unit</x:v>
      </x:c>
      <x:c r="H4" s="207" t="str">
        <x:v>Change</x:v>
      </x:c>
      <x:c r="I4" s="207" t="str">
        <x:v>Target</x:v>
      </x:c>
      <x:c r="J4" s="207" t="str">
        <x:v>Government control</x:v>
      </x:c>
      <x:c r="K4" s="207" t="str">
        <x:v>Class</x:v>
      </x:c>
      <x:c r="L4" s="207" t="str">
        <x:v>Assessment</x:v>
      </x:c>
      <x:c r="M4" s="208" t="str">
        <x:v>Source</x:v>
      </x:c>
    </x:row>
    <x:row r="5">
      <x:c r="A5" s="81" t="str">
        <x:v>Health</x:v>
      </x:c>
      <x:c r="B5" s="81" t="str">
        <x:v>Permanent primary-care provider</x:v>
      </x:c>
      <x:c r="C5" s="81" t="n">
        <x:v>77</x:v>
      </x:c>
      <x:c r="D5" s="81" t="str">
        <x:v>2024</x:v>
      </x:c>
      <x:c r="E5" s="81" t="n">
        <x:v>73</x:v>
      </x:c>
      <x:c r="F5" s="81" t="str">
        <x:v>2025</x:v>
      </x:c>
      <x:c r="G5" s="81" t="str">
        <x:v>% of citizens</x:v>
      </x:c>
      <x:c r="H5" s="81" t="n">
        <x:v>-4</x:v>
      </x:c>
      <x:c r="I5" s="81" t="n">
        <x:v>81</x:v>
      </x:c>
      <x:c r="J5" s="81" t="str">
        <x:v>Shared / lagged</x:v>
      </x:c>
      <x:c r="K5" s="81" t="str">
        <x:v>Outcome</x:v>
      </x:c>
      <x:c r="L5" s="81" t="str">
        <x:v>Worse; target missed</x:v>
      </x:c>
      <x:c r="M5" s="81" t="str">
        <x:v>S17</x:v>
      </x:c>
    </x:row>
    <x:row r="6">
      <x:c r="A6" s="82" t="str">
        <x:v>Health</x:v>
      </x:c>
      <x:c r="B6" s="82" t="str">
        <x:v>Primary-care appointment within five days</x:v>
      </x:c>
      <x:c r="C6" s="82" t="n">
        <x:v>34</x:v>
      </x:c>
      <x:c r="D6" s="82" t="str">
        <x:v>2022-24 approximately stable</x:v>
      </x:c>
      <x:c r="E6" s="82" t="n">
        <x:v>34</x:v>
      </x:c>
      <x:c r="F6" s="82" t="str">
        <x:v>2025</x:v>
      </x:c>
      <x:c r="G6" s="82" t="str">
        <x:v>% with provider</x:v>
      </x:c>
      <x:c r="H6" s="82" t="n">
        <x:v>0</x:v>
      </x:c>
      <x:c r="I6" s="82" t="n">
        <x:v>31.4</x:v>
      </x:c>
      <x:c r="J6" s="82" t="str">
        <x:v>Shared / lagged</x:v>
      </x:c>
      <x:c r="K6" s="82" t="str">
        <x:v>Outcome</x:v>
      </x:c>
      <x:c r="L6" s="82" t="str">
        <x:v>Target met but no improvement</x:v>
      </x:c>
      <x:c r="M6" s="82" t="str">
        <x:v>S17</x:v>
      </x:c>
    </x:row>
    <x:row r="7">
      <x:c r="A7" s="82" t="str">
        <x:v>Health</x:v>
      </x:c>
      <x:c r="B7" s="82" t="str">
        <x:v>Collaborative clinics announced</x:v>
      </x:c>
      <x:c r="C7" s="82" t="n">
        <x:v>0</x:v>
      </x:c>
      <x:c r="D7" s="82" t="str">
        <x:v>Election baseline</x:v>
      </x:c>
      <x:c r="E7" s="82" t="n">
        <x:v>15</x:v>
      </x:c>
      <x:c r="F7" s="82" t="n">
        <x:v>46146.5</x:v>
      </x:c>
      <x:c r="G7" s="82" t="str">
        <x:v>clinics</x:v>
      </x:c>
      <x:c r="H7" s="82" t="n">
        <x:v>15</x:v>
      </x:c>
      <x:c r="I7" s="82" t="n">
        <x:v>30</x:v>
      </x:c>
      <x:c r="J7" s="82" t="str">
        <x:v>High</x:v>
      </x:c>
      <x:c r="K7" s="82" t="str">
        <x:v>Output</x:v>
      </x:c>
      <x:c r="L7" s="82" t="str">
        <x:v>Halfway by count; operating scale varies</x:v>
      </x:c>
      <x:c r="M7" s="82" t="str">
        <x:v>S15</x:v>
      </x:c>
    </x:row>
    <x:row r="8">
      <x:c r="A8" s="82" t="str">
        <x:v>Health</x:v>
      </x:c>
      <x:c r="B8" s="82" t="str">
        <x:v>Additional attachments reported by first 14 clinics</x:v>
      </x:c>
      <x:c r="C8" s="82" t="n">
        <x:v>0</x:v>
      </x:c>
      <x:c r="D8" s="82" t="str">
        <x:v>Program baseline</x:v>
      </x:c>
      <x:c r="E8" s="82" t="n">
        <x:v>6853</x:v>
      </x:c>
      <x:c r="F8" s="82" t="n">
        <x:v>46141.5</x:v>
      </x:c>
      <x:c r="G8" s="82" t="str">
        <x:v>people</x:v>
      </x:c>
      <x:c r="H8" s="82" t="n">
        <x:v>6853</x:v>
      </x:c>
      <x:c r="I8" s="82" t="n">
        <x:v>22204</x:v>
      </x:c>
      <x:c r="J8" s="82" t="str">
        <x:v>High for program; shared for total attachment</x:v>
      </x:c>
      <x:c r="K8" s="82" t="str">
        <x:v>Reach</x:v>
      </x:c>
      <x:c r="L8" s="82" t="str">
        <x:v>Early reach, not province-wide outcome</x:v>
      </x:c>
      <x:c r="M8" s="82" t="str">
        <x:v>S16</x:v>
      </x:c>
    </x:row>
    <x:row r="9">
      <x:c r="A9" s="82" t="str">
        <x:v>Housing</x:v>
      </x:c>
      <x:c r="B9" s="82" t="str">
        <x:v>Total housing starts</x:v>
      </x:c>
      <x:c r="C9" s="82" t="n">
        <x:v>6169</x:v>
      </x:c>
      <x:c r="D9" s="82" t="str">
        <x:v>2024</x:v>
      </x:c>
      <x:c r="E9" s="82" t="n">
        <x:v>7587</x:v>
      </x:c>
      <x:c r="F9" s="82" t="str">
        <x:v>2025</x:v>
      </x:c>
      <x:c r="G9" s="82" t="str">
        <x:v>units</x:v>
      </x:c>
      <x:c r="H9" s="82" t="n">
        <x:v>1418</x:v>
      </x:c>
      <x:c r="I9" s="82" t="n">
        <x:v>6000</x:v>
      </x:c>
      <x:c r="J9" s="82" t="str">
        <x:v>Shared</x:v>
      </x:c>
      <x:c r="K9" s="82" t="str">
        <x:v>Output / leading indicator</x:v>
      </x:c>
      <x:c r="L9" s="82" t="str">
        <x:v>Above target</x:v>
      </x:c>
      <x:c r="M9" s="82" t="str">
        <x:v>S10</x:v>
      </x:c>
    </x:row>
    <x:row r="10">
      <x:c r="A10" s="82" t="str">
        <x:v>Housing</x:v>
      </x:c>
      <x:c r="B10" s="82" t="str">
        <x:v>Affordable housing starts</x:v>
      </x:c>
      <x:c r="C10" s="82" t="n">
        <x:v>59</x:v>
      </x:c>
      <x:c r="D10" s="82" t="str">
        <x:v>2019-23 annual average</x:v>
      </x:c>
      <x:c r="E10" s="82" t="n">
        <x:v>343</x:v>
      </x:c>
      <x:c r="F10" s="82" t="str">
        <x:v>2025</x:v>
      </x:c>
      <x:c r="G10" s="82" t="str">
        <x:v>units</x:v>
      </x:c>
      <x:c r="H10" s="82" t="n">
        <x:v>284</x:v>
      </x:c>
      <x:c r="I10" s="82" t="n">
        <x:v>320</x:v>
      </x:c>
      <x:c r="J10" s="82" t="str">
        <x:v>Moderate-high through programs</x:v>
      </x:c>
      <x:c r="K10" s="82" t="str">
        <x:v>Output</x:v>
      </x:c>
      <x:c r="L10" s="82" t="str">
        <x:v>Above target</x:v>
      </x:c>
      <x:c r="M10" s="82" t="str">
        <x:v>S10</x:v>
      </x:c>
    </x:row>
    <x:row r="11">
      <x:c r="A11" s="82" t="str">
        <x:v>Housing</x:v>
      </x:c>
      <x:c r="B11" s="82" t="str">
        <x:v>Tracked chronic homelessness</x:v>
      </x:c>
      <x:c r="C11" s="82" t="n">
        <x:v>1050</x:v>
      </x:c>
      <x:c r="D11" s="82" t="str">
        <x:v>2024</x:v>
      </x:c>
      <x:c r="E11" s="82" t="n">
        <x:v>932</x:v>
      </x:c>
      <x:c r="F11" s="82" t="str">
        <x:v>2026-05</x:v>
      </x:c>
      <x:c r="G11" s="82" t="str">
        <x:v>people in tracker</x:v>
      </x:c>
      <x:c r="H11" s="82" t="n">
        <x:v>-118</x:v>
      </x:c>
      <x:c r="I11" s="82" t="n">
        <x:v>621</x:v>
      </x:c>
      <x:c r="J11" s="82" t="str">
        <x:v>Shared</x:v>
      </x:c>
      <x:c r="K11" s="82" t="str">
        <x:v>Outcome</x:v>
      </x:c>
      <x:c r="L11" s="82" t="str">
        <x:v>Improving; definition/coverage caution</x:v>
      </x:c>
      <x:c r="M11" s="82" t="str">
        <x:v>S10</x:v>
      </x:c>
    </x:row>
    <x:row r="12">
      <x:c r="A12" s="82" t="str">
        <x:v>Education</x:v>
      </x:c>
      <x:c r="B12" s="82" t="str">
        <x:v>Chronic absenteeism</x:v>
      </x:c>
      <x:c r="C12" s="82" t="n">
        <x:v>32.3</x:v>
      </x:c>
      <x:c r="D12" s="82" t="str">
        <x:v>2024-25 full year</x:v>
      </x:c>
      <x:c r="E12" s="82" t="n">
        <x:v>31</x:v>
      </x:c>
      <x:c r="F12" s="82" t="str">
        <x:v>2025-26 through Apr.</x:v>
      </x:c>
      <x:c r="G12" s="82" t="str">
        <x:v>% chronically absent</x:v>
      </x:c>
      <x:c r="H12" s="82" t="n">
        <x:v>-1.3</x:v>
      </x:c>
      <x:c r="I12" s="82" t="n">
        <x:v>29</x:v>
      </x:c>
      <x:c r="J12" s="82" t="str">
        <x:v>Shared</x:v>
      </x:c>
      <x:c r="K12" s="82" t="str">
        <x:v>Outcome</x:v>
      </x:c>
      <x:c r="L12" s="82" t="str">
        <x:v>Improving but different windows; above target</x:v>
      </x:c>
      <x:c r="M12" s="82" t="str">
        <x:v>S13</x:v>
      </x:c>
    </x:row>
    <x:row r="13">
      <x:c r="A13" s="82" t="str">
        <x:v>Education</x:v>
      </x:c>
      <x:c r="B13" s="82" t="str">
        <x:v>Grade 3 Francophone reading</x:v>
      </x:c>
      <x:c r="C13" s="82" t="n">
        <x:v>70.1</x:v>
      </x:c>
      <x:c r="D13" s="82" t="str">
        <x:v>2024</x:v>
      </x:c>
      <x:c r="E13" s="82" t="n">
        <x:v>69.5</x:v>
      </x:c>
      <x:c r="F13" s="82" t="str">
        <x:v>2025</x:v>
      </x:c>
      <x:c r="G13" s="82" t="str">
        <x:v>% at standard</x:v>
      </x:c>
      <x:c r="H13" s="82" t="n">
        <x:v>-0.6</x:v>
      </x:c>
      <x:c r="I13" s="82" t="n">
        <x:v>71.5</x:v>
      </x:c>
      <x:c r="J13" s="82" t="str">
        <x:v>Shared / lagged</x:v>
      </x:c>
      <x:c r="K13" s="82" t="str">
        <x:v>Outcome</x:v>
      </x:c>
      <x:c r="L13" s="82" t="str">
        <x:v>Worse; target missed</x:v>
      </x:c>
      <x:c r="M13" s="82" t="str">
        <x:v>S13</x:v>
      </x:c>
    </x:row>
    <x:row r="14">
      <x:c r="A14" s="82" t="str">
        <x:v>Education</x:v>
      </x:c>
      <x:c r="B14" s="82" t="str">
        <x:v>Grade 4 English Prime reading</x:v>
      </x:c>
      <x:c r="C14" s="82" t="n">
        <x:v>51.7</x:v>
      </x:c>
      <x:c r="D14" s="82" t="str">
        <x:v>2024</x:v>
      </x:c>
      <x:c r="E14" s="82" t="n">
        <x:v>55.3</x:v>
      </x:c>
      <x:c r="F14" s="82" t="str">
        <x:v>2025</x:v>
      </x:c>
      <x:c r="G14" s="82" t="str">
        <x:v>% at standard</x:v>
      </x:c>
      <x:c r="H14" s="82" t="n">
        <x:v>3.6</x:v>
      </x:c>
      <x:c r="I14" s="82" t="n">
        <x:v>52.7</x:v>
      </x:c>
      <x:c r="J14" s="82" t="str">
        <x:v>Shared / lagged</x:v>
      </x:c>
      <x:c r="K14" s="82" t="str">
        <x:v>Outcome</x:v>
      </x:c>
      <x:c r="L14" s="82" t="str">
        <x:v>Improved; target met</x:v>
      </x:c>
      <x:c r="M14" s="82" t="str">
        <x:v>S13</x:v>
      </x:c>
    </x:row>
    <x:row r="15">
      <x:c r="A15" s="82" t="str">
        <x:v>Education</x:v>
      </x:c>
      <x:c r="B15" s="82" t="str">
        <x:v>Grade 4 French Immersion reading</x:v>
      </x:c>
      <x:c r="C15" s="82" t="n">
        <x:v>64.1</x:v>
      </x:c>
      <x:c r="D15" s="82" t="str">
        <x:v>2024</x:v>
      </x:c>
      <x:c r="E15" s="82" t="n">
        <x:v>72.7</x:v>
      </x:c>
      <x:c r="F15" s="82" t="str">
        <x:v>2025</x:v>
      </x:c>
      <x:c r="G15" s="82" t="str">
        <x:v>% at standard</x:v>
      </x:c>
      <x:c r="H15" s="82" t="n">
        <x:v>8.6</x:v>
      </x:c>
      <x:c r="I15" s="82" t="n">
        <x:v>65.4</x:v>
      </x:c>
      <x:c r="J15" s="82" t="str">
        <x:v>Shared / lagged</x:v>
      </x:c>
      <x:c r="K15" s="82" t="str">
        <x:v>Outcome</x:v>
      </x:c>
      <x:c r="L15" s="82" t="str">
        <x:v>Improved; target met</x:v>
      </x:c>
      <x:c r="M15" s="82" t="str">
        <x:v>S13</x:v>
      </x:c>
    </x:row>
    <x:row r="16">
      <x:c r="A16" s="82" t="str">
        <x:v>Education</x:v>
      </x:c>
      <x:c r="B16" s="82" t="str">
        <x:v>Grade 3 Francophone math</x:v>
      </x:c>
      <x:c r="C16" s="82" t="n">
        <x:v>68.2</x:v>
      </x:c>
      <x:c r="D16" s="82" t="str">
        <x:v>2024</x:v>
      </x:c>
      <x:c r="E16" s="82" t="n">
        <x:v>65.9</x:v>
      </x:c>
      <x:c r="F16" s="82" t="str">
        <x:v>2025</x:v>
      </x:c>
      <x:c r="G16" s="82" t="str">
        <x:v>% at standard</x:v>
      </x:c>
      <x:c r="H16" s="82" t="n">
        <x:v>-2.3</x:v>
      </x:c>
      <x:c r="I16" s="82" t="n">
        <x:v>69.6</x:v>
      </x:c>
      <x:c r="J16" s="82" t="str">
        <x:v>Shared / lagged</x:v>
      </x:c>
      <x:c r="K16" s="82" t="str">
        <x:v>Outcome</x:v>
      </x:c>
      <x:c r="L16" s="82" t="str">
        <x:v>Worse; target missed</x:v>
      </x:c>
      <x:c r="M16" s="82" t="str">
        <x:v>S13</x:v>
      </x:c>
    </x:row>
    <x:row r="17">
      <x:c r="A17" s="82" t="str">
        <x:v>Education</x:v>
      </x:c>
      <x:c r="B17" s="82" t="str">
        <x:v>Grade 5 Anglophone math</x:v>
      </x:c>
      <x:c r="C17" s="82" t="n">
        <x:v>53.3</x:v>
      </x:c>
      <x:c r="D17" s="82" t="str">
        <x:v>2024</x:v>
      </x:c>
      <x:c r="E17" s="82" t="n">
        <x:v>51.4</x:v>
      </x:c>
      <x:c r="F17" s="82" t="str">
        <x:v>2025</x:v>
      </x:c>
      <x:c r="G17" s="82" t="str">
        <x:v>% at standard</x:v>
      </x:c>
      <x:c r="H17" s="82" t="n">
        <x:v>-1.9</x:v>
      </x:c>
      <x:c r="I17" s="82" t="n">
        <x:v>54.4</x:v>
      </x:c>
      <x:c r="J17" s="82" t="str">
        <x:v>Shared / lagged</x:v>
      </x:c>
      <x:c r="K17" s="82" t="str">
        <x:v>Outcome</x:v>
      </x:c>
      <x:c r="L17" s="82" t="str">
        <x:v>Worse; target missed</x:v>
      </x:c>
      <x:c r="M17" s="82" t="str">
        <x:v>S13</x:v>
      </x:c>
    </x:row>
    <x:row r="18">
      <x:c r="A18" s="82" t="str">
        <x:v>Economy</x:v>
      </x:c>
      <x:c r="B18" s="82" t="str">
        <x:v>Average weekly earnings growth</x:v>
      </x:c>
      <x:c r="C18" s="82" t="n">
        <x:v>3.8</x:v>
      </x:c>
      <x:c r="D18" s="82" t="str">
        <x:v>2024</x:v>
      </x:c>
      <x:c r="E18" s="82" t="n">
        <x:v>3.7</x:v>
      </x:c>
      <x:c r="F18" s="82" t="str">
        <x:v>2025</x:v>
      </x:c>
      <x:c r="G18" s="82" t="str">
        <x:v>% annual growth</x:v>
      </x:c>
      <x:c r="H18" s="82" t="n">
        <x:v>-0.1</x:v>
      </x:c>
      <x:c r="I18" s="82" t="n">
        <x:v>3</x:v>
      </x:c>
      <x:c r="J18" s="82" t="str">
        <x:v>Low-shared</x:v>
      </x:c>
      <x:c r="K18" s="82" t="str">
        <x:v>Outcome</x:v>
      </x:c>
      <x:c r="L18" s="82" t="str">
        <x:v>Above target</x:v>
      </x:c>
      <x:c r="M18" s="82" t="str">
        <x:v>S12</x:v>
      </x:c>
    </x:row>
    <x:row r="19">
      <x:c r="A19" s="82" t="str">
        <x:v>Economy</x:v>
      </x:c>
      <x:c r="B19" s="82" t="str">
        <x:v>Youth 20-29 in education, employment or training</x:v>
      </x:c>
      <x:c r="C19" s="82" t="n">
        <x:v>84.6</x:v>
      </x:c>
      <x:c r="D19" s="82" t="str">
        <x:v>2024</x:v>
      </x:c>
      <x:c r="E19" s="82" t="n">
        <x:v>81.7</x:v>
      </x:c>
      <x:c r="F19" s="82" t="str">
        <x:v>2025</x:v>
      </x:c>
      <x:c r="G19" s="82" t="str">
        <x:v>%</x:v>
      </x:c>
      <x:c r="H19" s="82" t="n">
        <x:v>-2.9</x:v>
      </x:c>
      <x:c r="I19" s="82" t="n">
        <x:v>85.1</x:v>
      </x:c>
      <x:c r="J19" s="82" t="str">
        <x:v>Low-shared</x:v>
      </x:c>
      <x:c r="K19" s="82" t="str">
        <x:v>Outcome</x:v>
      </x:c>
      <x:c r="L19" s="82" t="str">
        <x:v>Worse; target missed</x:v>
      </x:c>
      <x:c r="M19" s="82" t="str">
        <x:v>S12</x:v>
      </x:c>
    </x:row>
    <x:row r="20">
      <x:c r="A20" s="82" t="str">
        <x:v>Fiscal</x:v>
      </x:c>
      <x:c r="B20" s="82" t="str">
        <x:v>Annual surplus / deficit</x:v>
      </x:c>
      <x:c r="C20" s="82" t="n">
        <x:v>501</x:v>
      </x:c>
      <x:c r="D20" s="82" t="str">
        <x:v>2023-24 actual</x:v>
      </x:c>
      <x:c r="E20" s="82" t="n">
        <x:v>-1394</x:v>
      </x:c>
      <x:c r="F20" s="82" t="str">
        <x:v>2026-27 budget</x:v>
      </x:c>
      <x:c r="G20" s="82" t="str">
        <x:v>$ millions</x:v>
      </x:c>
      <x:c r="H20" s="82" t="n">
        <x:v>-1895</x:v>
      </x:c>
      <x:c r="I20" s="82" t="n">
        <x:v>0</x:v>
      </x:c>
      <x:c r="J20" s="82" t="str">
        <x:v>High, with economic uncertainty</x:v>
      </x:c>
      <x:c r="K20" s="82" t="str">
        <x:v>Outcome</x:v>
      </x:c>
      <x:c r="L20" s="82" t="str">
        <x:v>Off trajectory</x:v>
      </x:c>
      <x:c r="M20" s="82" t="str">
        <x:v>S19;S20;S21</x:v>
      </x:c>
    </x:row>
    <x:row r="21">
      <x:c r="A21" s="82" t="str">
        <x:v>Fiscal</x:v>
      </x:c>
      <x:c r="B21" s="82" t="str">
        <x:v>Net debt</x:v>
      </x:c>
      <x:c r="C21" s="82" t="n">
        <x:v>11829</x:v>
      </x:c>
      <x:c r="D21" s="82" t="str">
        <x:v>2023-24 actual</x:v>
      </x:c>
      <x:c r="E21" s="82" t="n">
        <x:v>15902</x:v>
      </x:c>
      <x:c r="F21" s="82" t="str">
        <x:v>2026-27 projection</x:v>
      </x:c>
      <x:c r="G21" s="82" t="str">
        <x:v>$ millions</x:v>
      </x:c>
      <x:c r="H21" s="82" t="n">
        <x:v>4073</x:v>
      </x:c>
      <x:c r="I21" s="82" t="str">
        <x:v>Not specified</x:v>
      </x:c>
      <x:c r="J21" s="82" t="str">
        <x:v>High-shared</x:v>
      </x:c>
      <x:c r="K21" s="82" t="str">
        <x:v>Outcome</x:v>
      </x:c>
      <x:c r="L21" s="82" t="str">
        <x:v>Increasing</x:v>
      </x:c>
      <x:c r="M21" s="82" t="str">
        <x:v>S21</x:v>
      </x:c>
    </x:row>
    <x:row r="22">
      <x:c r="A22" s="82" t="str">
        <x:v>Environment</x:v>
      </x:c>
      <x:c r="B22" s="82" t="str">
        <x:v>Energy-efficiency savings</x:v>
      </x:c>
      <x:c r="C22" s="82" t="str">
        <x:v>Not harmonized</x:v>
      </x:c>
      <x:c r="D22" s="82"/>
      <x:c r="E22" s="82" t="n">
        <x:v>567334</x:v>
      </x:c>
      <x:c r="F22" s="82" t="str">
        <x:v>2025</x:v>
      </x:c>
      <x:c r="G22" s="82" t="str">
        <x:v>GJ</x:v>
      </x:c>
      <x:c r="H22" s="82"/>
      <x:c r="I22" s="82" t="n">
        <x:v>331000</x:v>
      </x:c>
      <x:c r="J22" s="82" t="str">
        <x:v>Shared with NB Power and prior programs</x:v>
      </x:c>
      <x:c r="K22" s="82" t="str">
        <x:v>Output</x:v>
      </x:c>
      <x:c r="L22" s="82" t="str">
        <x:v>Above target; incremental Holt effect not isolated</x:v>
      </x:c>
      <x:c r="M22" s="82" t="str">
        <x:v>S14</x:v>
      </x:c>
    </x:row>
    <x:row r="23">
      <x:c r="A23" s="83" t="str">
        <x:v>Environment</x:v>
      </x:c>
      <x:c r="B23" s="83" t="str">
        <x:v>Schools with updated CO2 monitoring</x:v>
      </x:c>
      <x:c r="C23" s="83" t="n">
        <x:v>30.5</x:v>
      </x:c>
      <x:c r="D23" s="83" t="str">
        <x:v>2025 report-card snapshot</x:v>
      </x:c>
      <x:c r="E23" s="83" t="n">
        <x:v>91</x:v>
      </x:c>
      <x:c r="F23" s="83" t="str">
        <x:v>2026-06</x:v>
      </x:c>
      <x:c r="G23" s="83" t="str">
        <x:v>% of schools</x:v>
      </x:c>
      <x:c r="H23" s="83" t="n">
        <x:v>60.5</x:v>
      </x:c>
      <x:c r="I23" s="83" t="n">
        <x:v>100</x:v>
      </x:c>
      <x:c r="J23" s="83" t="str">
        <x:v>High</x:v>
      </x:c>
      <x:c r="K23" s="83" t="str">
        <x:v>Output</x:v>
      </x:c>
      <x:c r="L23" s="83" t="str">
        <x:v>Strong implementation progress</x:v>
      </x:c>
      <x:c r="M23" s="83" t="str">
        <x:v>S14</x:v>
      </x:c>
    </x:row>
  </x:sheetData>
  <x:mergeCells>
    <x:mergeCell ref="A1:M1"/>
    <x:mergeCell ref="A2:M2"/>
  </x:mergeCells>
  <x:conditionalFormatting sqref="L5:L23">
    <x:cfRule type="expression" dxfId="4" priority="1">
      <x:formula>OR(ISNUMBER(SEARCH("Worse",L5)),ISNUMBER(SEARCH("Off trajectory",L5)))</x:formula>
    </x:cfRule>
    <x:cfRule type="expression" dxfId="5" priority="2">
      <x:formula>OR(ISNUMBER(SEARCH("Improved",L5)),ISNUMBER(SEARCH("Above target",L5)))</x:formula>
    </x:cfRule>
  </x:conditionalFormatting>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72" hidden="0" customWidth="1"/>
    <x:col min="4" max="4" width="58" hidden="0" customWidth="1"/>
    <x:col min="5" max="5" width="22" hidden="0" customWidth="1"/>
    <x:col min="6" max="6" width="48" hidden="0" customWidth="1"/>
    <x:col min="7" max="7" width="22" hidden="0" customWidth="1"/>
  </x:cols>
  <x:sheetData>
    <x:row r="1" ht="30" customHeight="1">
      <x:c r="A1" s="182" t="str">
        <x:v>Communications and public-credit diagnostics</x:v>
      </x:c>
      <x:c r="B1" s="182" t="str">
        <x:v>Communications and public-credit diagnostics</x:v>
      </x:c>
      <x:c r="C1" s="182" t="str">
        <x:v>Communications and public-credit diagnostics</x:v>
      </x:c>
      <x:c r="D1" s="182" t="str">
        <x:v>Communications and public-credit diagnostics</x:v>
      </x:c>
      <x:c r="E1" s="182" t="str">
        <x:v>Communications and public-credit diagnostics</x:v>
      </x:c>
      <x:c r="F1" s="182" t="str">
        <x:v>Communications and public-credit diagnostics</x:v>
      </x:c>
      <x:c r="G1" s="182" t="str">
        <x:v>Communications and public-credit diagnostics</x:v>
      </x:c>
    </x:row>
    <x:row r="2" ht="26" customHeight="1">
      <x:c r="A2" s="183" t="str">
        <x:v>Observed pattern: implementation-to-public-evaluation gap. Credit conversion and weak mandate compression are testable hypotheses, not identified causes.</x:v>
      </x:c>
      <x:c r="B2" s="183" t="str">
        <x:v>Observed pattern: implementation-to-public-evaluation gap. Credit conversion and weak mandate compression are testable hypotheses, not identified causes.</x:v>
      </x:c>
      <x:c r="C2" s="183" t="str">
        <x:v>Observed pattern: implementation-to-public-evaluation gap. Credit conversion and weak mandate compression are testable hypotheses, not identified causes.</x:v>
      </x:c>
      <x:c r="D2" s="183" t="str">
        <x:v>Observed pattern: implementation-to-public-evaluation gap. Credit conversion and weak mandate compression are testable hypotheses, not identified causes.</x:v>
      </x:c>
      <x:c r="E2" s="183" t="str">
        <x:v>Observed pattern: implementation-to-public-evaluation gap. Credit conversion and weak mandate compression are testable hypotheses, not identified causes.</x:v>
      </x:c>
      <x:c r="F2" s="183" t="str">
        <x:v>Observed pattern: implementation-to-public-evaluation gap. Credit conversion and weak mandate compression are testable hypotheses, not identified causes.</x:v>
      </x:c>
      <x:c r="G2" s="183" t="str">
        <x:v>Observed pattern: implementation-to-public-evaluation gap. Credit conversion and weak mandate compression are testable hypotheses, not identified causes.</x:v>
      </x:c>
    </x:row>
    <x:row r="3">
      <x:c r="A3" s="184"/>
      <x:c r="B3" s="184"/>
      <x:c r="C3" s="184"/>
      <x:c r="D3" s="184"/>
      <x:c r="E3" s="184"/>
      <x:c r="F3" s="184"/>
      <x:c r="G3" s="184"/>
    </x:row>
    <x:row r="4" ht="30" customHeight="1">
      <x:c r="A4" s="206" t="str">
        <x:v>Diagnostic</x:v>
      </x:c>
      <x:c r="B4" s="207" t="str">
        <x:v>Finding</x:v>
      </x:c>
      <x:c r="C4" s="207" t="str">
        <x:v>Evidence</x:v>
      </x:c>
      <x:c r="D4" s="207" t="str">
        <x:v>Strongest rival</x:v>
      </x:c>
      <x:c r="E4" s="207" t="str">
        <x:v>Confidence</x:v>
      </x:c>
      <x:c r="F4" s="207" t="str">
        <x:v>Measurement gap</x:v>
      </x:c>
      <x:c r="G4" s="208" t="str">
        <x:v>Sources</x:v>
      </x:c>
    </x:row>
    <x:row r="5">
      <x:c r="A5" s="81" t="str">
        <x:v>Implementation-to-public-evaluation gap</x:v>
      </x:c>
      <x:c r="B5" s="81" t="str">
        <x:v>OBSERVED; MECHANISM UNIDENTIFIED</x:v>
      </x:c>
      <x:c r="C5" s="81" t="str">
        <x:v>Housing, clinic and affordability outputs coexist with 25-29% issue-handling approval and only 32% seeing positive change.</x:v>
      </x:c>
      <x:c r="D5" s="81" t="str">
        <x:v>Outputs may be too small, too recent or inadequate rather than poorly transmitted or credited.</x:v>
      </x:c>
      <x:c r="E5" s="81" t="str">
        <x:v>Medium</x:v>
      </x:c>
      <x:c r="F5" s="81" t="str">
        <x:v>Policy awareness, attribution, comprehension, adequacy and personal experience in the same respondents</x:v>
      </x:c>
      <x:c r="G5" s="81" t="str">
        <x:v>S06;S10;S15;S16</x:v>
      </x:c>
    </x:row>
    <x:row r="6">
      <x:c r="A6" s="82" t="str">
        <x:v>Weak mandate compression</x:v>
      </x:c>
      <x:c r="B6" s="82" t="str">
        <x:v>RHETORICAL PATTERN OBSERVED; PUBLIC EFFECT UNTESTED</x:v>
      </x:c>
      <x:c r="C6" s="82" t="str">
        <x:v>Six stable but coequal priorities sit beneath rotating frames: fresh start, brighter future, change in motion, accelerating change, foundation and putting New Brunswickers first.</x:v>
      </x:c>
      <x:c r="D6" s="82" t="str">
        <x:v>Residents may understand the agenda despite broad formal framing.</x:v>
      </x:c>
      <x:c r="E6" s="82" t="str">
        <x:v>Medium-low</x:v>
      </x:c>
      <x:c r="F6" s="82" t="str">
        <x:v>Unaided recall of governing purpose and top priorities</x:v>
      </x:c>
      <x:c r="G6" s="82" t="str">
        <x:v>S28;S29;S30</x:v>
      </x:c>
    </x:row>
    <x:row r="7">
      <x:c r="A7" s="82" t="str">
        <x:v>Generic communication-channel failure</x:v>
      </x:c>
      <x:c r="B7" s="82" t="str">
        <x:v>NOT ESTABLISHED AS PRIMARY MECHANISM</x:v>
      </x:c>
      <x:c r="C7" s="82" t="str">
        <x:v>Consulting/communicating approval fell 4 points from Oct. 2025 to Aug. 2026, versus 10 points for overall approval and 18 for Holt net favourability; provider/weighting changed and no difference test is available.</x:v>
      </x:c>
      <x:c r="D7" s="82" t="str">
        <x:v>Survey design changes or broad communication questions may hide transmission failures.</x:v>
      </x:c>
      <x:c r="E7" s="82" t="str">
        <x:v>Medium-low</x:v>
      </x:c>
      <x:c r="F7" s="82" t="str">
        <x:v>Fixed-panel exposure, comprehension and uncertainty estimates</x:v>
      </x:c>
      <x:c r="G7" s="82" t="str">
        <x:v>S06;S36</x:v>
      </x:c>
    </x:row>
    <x:row r="8">
      <x:c r="A8" s="82" t="str">
        <x:v>Consultation-to-closure failure</x:v>
      </x:c>
      <x:c r="B8" s="82" t="str">
        <x:v>SUPPORTED IN ONE MAJOR EVENT</x:v>
      </x:c>
      <x:c r="C8" s="82" t="str">
        <x:v>A short-deadline post-secondary option paper became public as alarming scenarios before Holt rejected closures/privatization; final budget froze rather than cut operating grants.</x:v>
      </x:c>
      <x:c r="D8" s="82" t="str">
        <x:v>Legitimate scenario exploration can precede Cabinet decisions.</x:v>
      </x:c>
      <x:c r="E8" s="82" t="str">
        <x:v>High for event; medium government-wide</x:v>
      </x:c>
      <x:c r="F8" s="82" t="str">
        <x:v>Comparable corpus of internal-to-public policy transitions</x:v>
      </x:c>
      <x:c r="G8" s="82" t="str">
        <x:v>S37;S38</x:v>
      </x:c>
    </x:row>
    <x:row r="9">
      <x:c r="A9" s="82" t="str">
        <x:v>Broad French-language transmission failure</x:v>
      </x:c>
      <x:c r="B9" s="82" t="str">
        <x:v>NOT SUPPORTED BY BROAD INDICATORS</x:v>
      </x:c>
      <x:c r="C9" s="82" t="str">
        <x:v>Formal releases were supplied in both languages; Liberal support is strongest in North and in Porter's rural-Francophone cell, but that cell is n=97.</x:v>
      </x:c>
      <x:c r="D9" s="82" t="str">
        <x:v>Region is not language, supply is not reception and subsamples are small.</x:v>
      </x:c>
      <x:c r="E9" s="82" t="str">
        <x:v>Low-medium</x:v>
      </x:c>
      <x:c r="F9" s="82" t="str">
        <x:v>Language-specific awareness, comprehension and trust samples</x:v>
      </x:c>
      <x:c r="G9" s="82" t="str">
        <x:v>S06;S07;S29</x:v>
      </x:c>
    </x:row>
    <x:row r="10">
      <x:c r="A10" s="82" t="str">
        <x:v>Universal messenger blockade</x:v>
      </x:c>
      <x:c r="B10" s="82" t="str">
        <x:v>NOT SUPPORTED</x:v>
      </x:c>
      <x:c r="C10" s="82" t="str">
        <x:v>Wildfire handling received the government's highest issue rating, showing that at least one clear, visible performance area received public credit.</x:v>
      </x:c>
      <x:c r="D10" s="82" t="str">
        <x:v>Emergency response is unusually visible and concentrated.</x:v>
      </x:c>
      <x:c r="E10" s="82" t="str">
        <x:v>Medium</x:v>
      </x:c>
      <x:c r="F10" s="82" t="str">
        <x:v>Messenger experiments across routine policies</x:v>
      </x:c>
      <x:c r="G10" s="82" t="str">
        <x:v>S06;S39</x:v>
      </x:c>
    </x:row>
    <x:row r="11">
      <x:c r="A11" s="83" t="str">
        <x:v>Opposition shelter</x:v>
      </x:c>
      <x:c r="B11" s="83" t="str">
        <x:v>SUPPORTED</x:v>
      </x:c>
      <x:c r="C11" s="83" t="str">
        <x:v>Only 17% approved of the PC opposition; about half could not rate either leadership candidate and 56% were unsure whom they preferred.</x:v>
      </x:c>
      <x:c r="D11" s="83" t="str">
        <x:v>Leadership selection could rapidly change recognition and issue ownership.</x:v>
      </x:c>
      <x:c r="E11" s="83" t="str">
        <x:v>High for current state</x:v>
      </x:c>
      <x:c r="F11" s="83" t="str">
        <x:v>Post-leadership repeated polls</x:v>
      </x:c>
      <x:c r="G11" s="83" t="str">
        <x:v>S06</x:v>
      </x:c>
    </x:row>
  </x:sheetData>
  <x:mergeCells>
    <x:mergeCell ref="A1:G1"/>
    <x:mergeCell ref="A2:G2"/>
  </x:mergeCells>
  <x:conditionalFormatting sqref="B5:B11">
    <x:cfRule type="expression" dxfId="6" priority="1">
      <x:formula>OR(ISNUMBER(SEARCH("GREEN",B5)),ISNUMBER(SEARCH("SUPPORTED",B5)),ISNUMBER(SEARCH("COMPLETE",B5)))</x:formula>
    </x:cfRule>
    <x:cfRule type="expression" dxfId="7" priority="2">
      <x:formula>OR(ISNUMBER(SEARCH("RED",B5)),ISNUMBER(SEARCH("MISSED",B5)),ISNUMBER(SEARCH("NOT SUPPORTED",B5)))</x:formula>
    </x:cfRule>
  </x:conditionalFormatting>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8" hidden="0" customWidth="1"/>
    <x:col min="2" max="2" width="24" hidden="0" customWidth="1"/>
    <x:col min="3" max="3" width="78" hidden="0" customWidth="1"/>
    <x:col min="4" max="4" width="48" hidden="0" customWidth="1"/>
    <x:col min="5" max="5" width="34" hidden="0" customWidth="1"/>
    <x:col min="6" max="6" width="28" hidden="0" customWidth="1"/>
    <x:col min="7" max="7" width="22" hidden="0" customWidth="1"/>
  </x:cols>
  <x:sheetData>
    <x:row r="1" ht="30" customHeight="1">
      <x:c r="A1" s="182" t="str">
        <x:v>Administrative health and civil-service hypothesis</x:v>
      </x:c>
      <x:c r="B1" s="182" t="str">
        <x:v>Administrative health and civil-service hypothesis</x:v>
      </x:c>
      <x:c r="C1" s="182" t="str">
        <x:v>Administrative health and civil-service hypothesis</x:v>
      </x:c>
      <x:c r="D1" s="182" t="str">
        <x:v>Administrative health and civil-service hypothesis</x:v>
      </x:c>
      <x:c r="E1" s="182" t="str">
        <x:v>Administrative health and civil-service hypothesis</x:v>
      </x:c>
      <x:c r="F1" s="182" t="str">
        <x:v>Administrative health and civil-service hypothesis</x:v>
      </x:c>
      <x:c r="G1" s="182" t="str">
        <x:v>Administrative health and civil-service hypothesis</x:v>
      </x:c>
    </x:row>
    <x:row r="2" ht="26" customHeight="1">
      <x:c r="A2" s="183" t="str">
        <x:v>Senior civil-service morale is UNOBSERVED. Objective strain mechanisms justify a mixed/amber assessment, not a claim of generalized disaffection.</x:v>
      </x:c>
      <x:c r="B2" s="183" t="str">
        <x:v>Senior civil-service morale is UNOBSERVED. Objective strain mechanisms justify a mixed/amber assessment, not a claim of generalized disaffection.</x:v>
      </x:c>
      <x:c r="C2" s="183" t="str">
        <x:v>Senior civil-service morale is UNOBSERVED. Objective strain mechanisms justify a mixed/amber assessment, not a claim of generalized disaffection.</x:v>
      </x:c>
      <x:c r="D2" s="183" t="str">
        <x:v>Senior civil-service morale is UNOBSERVED. Objective strain mechanisms justify a mixed/amber assessment, not a claim of generalized disaffection.</x:v>
      </x:c>
      <x:c r="E2" s="183" t="str">
        <x:v>Senior civil-service morale is UNOBSERVED. Objective strain mechanisms justify a mixed/amber assessment, not a claim of generalized disaffection.</x:v>
      </x:c>
      <x:c r="F2" s="183" t="str">
        <x:v>Senior civil-service morale is UNOBSERVED. Objective strain mechanisms justify a mixed/amber assessment, not a claim of generalized disaffection.</x:v>
      </x:c>
      <x:c r="G2" s="183" t="str">
        <x:v>Senior civil-service morale is UNOBSERVED. Objective strain mechanisms justify a mixed/amber assessment, not a claim of generalized disaffection.</x:v>
      </x:c>
    </x:row>
    <x:row r="3">
      <x:c r="A3" s="184"/>
      <x:c r="B3" s="184"/>
      <x:c r="C3" s="184"/>
      <x:c r="D3" s="184"/>
      <x:c r="E3" s="184"/>
      <x:c r="F3" s="184"/>
      <x:c r="G3" s="184"/>
    </x:row>
    <x:row r="4" ht="30" customHeight="1">
      <x:c r="A4" s="206" t="str">
        <x:v>Indicator</x:v>
      </x:c>
      <x:c r="B4" s="207" t="str">
        <x:v>Period</x:v>
      </x:c>
      <x:c r="C4" s="207" t="str">
        <x:v>Evidence</x:v>
      </x:c>
      <x:c r="D4" s="207" t="str">
        <x:v>Assessment</x:v>
      </x:c>
      <x:c r="E4" s="207" t="str">
        <x:v>Confidence</x:v>
      </x:c>
      <x:c r="F4" s="207" t="str">
        <x:v>Generalizable to morale?</x:v>
      </x:c>
      <x:c r="G4" s="208" t="str">
        <x:v>Sources</x:v>
      </x:c>
    </x:row>
    <x:row r="5">
      <x:c r="A5" s="81" t="str">
        <x:v>Senior-leadership movement</x:v>
      </x:c>
      <x:c r="B5" s="81" t="str">
        <x:v>Days 0-674</x:v>
      </x:c>
      <x:c r="C5" s="81" t="str">
        <x:v>Named changes are mostly internal promotions/transfers, acting appointments later regularized and announced retirements.</x:v>
      </x:c>
      <x:c r="D5" s="81" t="str">
        <x:v>Continuity stronger than exodus narrative</x:v>
      </x:c>
      <x:c r="E5" s="81" t="str">
        <x:v>Moderate-high</x:v>
      </x:c>
      <x:c r="F5" s="81" t="str">
        <x:v>No</x:v>
      </x:c>
      <x:c r="G5" s="81" t="str">
        <x:v>S23;S24;S25</x:v>
      </x:c>
    </x:row>
    <x:row r="6">
      <x:c r="A6" s="82" t="str">
        <x:v>Part I workforce plan</x:v>
      </x:c>
      <x:c r="B6" s="82" t="str">
        <x:v>Announced 2026-03-17</x:v>
      </x:c>
      <x:c r="C6" s="82" t="str">
        <x:v>Approximately 12% reduction over three years, up to $100m savings.</x:v>
      </x:c>
      <x:c r="D6" s="82" t="str">
        <x:v>Credible anxiety and capacity mechanism; realized effect largely unobserved by cutoff</x:v>
      </x:c>
      <x:c r="E6" s="82" t="str">
        <x:v>High on policy; low on effect</x:v>
      </x:c>
      <x:c r="F6" s="82" t="str">
        <x:v>Mechanism only</x:v>
      </x:c>
      <x:c r="G6" s="82" t="str">
        <x:v>S22</x:v>
      </x:c>
    </x:row>
    <x:row r="7">
      <x:c r="A7" s="82" t="str">
        <x:v>RTIPPA timeliness/resources</x:v>
      </x:c>
      <x:c r="B7" s="82" t="str">
        <x:v>2024-25 / review released 2026-06-18</x:v>
      </x:c>
      <x:c r="C7" s="82" t="str">
        <x:v>59.5% within 30 business days; 62% of surveyed professionals affirmed adequate tools/resources/support; manual and uneven capacity documented.</x:v>
      </x:c>
      <x:c r="D7" s="82" t="str">
        <x:v>Direct function-specific capacity strain</x:v>
      </x:c>
      <x:c r="E7" s="82" t="str">
        <x:v>High for RTIPPA; low-moderate government-wide</x:v>
      </x:c>
      <x:c r="F7" s="82" t="str">
        <x:v>No</x:v>
      </x:c>
      <x:c r="G7" s="82" t="str">
        <x:v>S26</x:v>
      </x:c>
    </x:row>
    <x:row r="8">
      <x:c r="A8" s="82" t="str">
        <x:v>AG staffing-related reporting failure</x:v>
      </x:c>
      <x:c r="B8" s="82" t="str">
        <x:v>2025-26</x:v>
      </x:c>
      <x:c r="C8" s="82" t="str">
        <x:v>Tourism, Heritage and Culture said a performance report was unavailable because of staffing changes, amid broader grant-control weaknesses.</x:v>
      </x:c>
      <x:c r="D8" s="82" t="str">
        <x:v>Concrete departmental execution risk, partly inherited</x:v>
      </x:c>
      <x:c r="E8" s="82" t="str">
        <x:v>High for case</x:v>
      </x:c>
      <x:c r="F8" s="82" t="str">
        <x:v>No</x:v>
      </x:c>
      <x:c r="G8" s="82" t="str">
        <x:v>S27</x:v>
      </x:c>
    </x:row>
    <x:row r="9">
      <x:c r="A9" s="82" t="str">
        <x:v>Finance/HR dual-hatting and reform portfolio</x:v>
      </x:c>
      <x:c r="B9" s="82" t="str">
        <x:v>From 2026-05-01</x:v>
      </x:c>
      <x:c r="C9" s="82" t="str">
        <x:v>Finance deputy moved to reform/modernization; HR deputy also became interim Finance deputy.</x:v>
      </x:c>
      <x:c r="D9" s="82" t="str">
        <x:v>Objective continuity and workload risk, not dysfunction proof</x:v>
      </x:c>
      <x:c r="E9" s="82" t="str">
        <x:v>High on structure; low on burden</x:v>
      </x:c>
      <x:c r="F9" s="82" t="str">
        <x:v>No</x:v>
      </x:c>
      <x:c r="G9" s="82" t="str">
        <x:v>S25</x:v>
      </x:c>
    </x:row>
    <x:row r="10">
      <x:c r="A10" s="82" t="str">
        <x:v>Labour relations</x:v>
      </x:c>
      <x:c r="B10" s="82" t="str">
        <x:v>2025-26</x:v>
      </x:c>
      <x:c r="C10" s="82" t="str">
        <x:v>CUPE 1190 agreement ratified 95%; tentative agreement with six NBU groups; labour bodies later warned about attrition effects.</x:v>
      </x:c>
      <x:c r="D10" s="82" t="str">
        <x:v>Mixed: early cooperation followed by downsizing anxiety</x:v>
      </x:c>
      <x:c r="E10" s="82" t="str">
        <x:v>Moderate</x:v>
      </x:c>
      <x:c r="F10" s="82" t="str">
        <x:v>No</x:v>
      </x:c>
      <x:c r="G10" s="82" t="str">
        <x:v>S40;S41</x:v>
      </x:c>
    </x:row>
    <x:row r="11">
      <x:c r="A11" s="83" t="str">
        <x:v>Senior civil-service morale</x:v>
      </x:c>
      <x:c r="B11" s="83" t="str">
        <x:v>At cutoff</x:v>
      </x:c>
      <x:c r="C11" s="83" t="str">
        <x:v>No representative executive survey, turnover flow, exit dataset, vacancy, sick-leave or confidence series located.</x:v>
      </x:c>
      <x:c r="D11" s="83" t="str">
        <x:v>UNOBSERVED</x:v>
      </x:c>
      <x:c r="E11" s="83" t="str">
        <x:v>High that public evidence is insufficient</x:v>
      </x:c>
      <x:c r="F11" s="83" t="str">
        <x:v>Not applicable</x:v>
      </x:c>
      <x:c r="G11" s="83" t="str">
        <x:v>S42</x:v>
      </x:c>
    </x:row>
  </x:sheetData>
  <x:mergeCells>
    <x:mergeCell ref="A1:G1"/>
    <x:mergeCell ref="A2:G2"/>
  </x:mergeCells>
  <x:conditionalFormatting sqref="D5:D11">
    <x:cfRule type="expression" dxfId="8" priority="1">
      <x:formula>ISNUMBER(SEARCH("UNOBSERVED",D5))</x:formula>
    </x:cfRule>
  </x:conditionalFormatting>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30" hidden="0" customWidth="1"/>
    <x:col min="2" max="2" width="24" hidden="0" customWidth="1"/>
    <x:col min="3" max="3" width="13" hidden="0" customWidth="1"/>
    <x:col min="4" max="4" width="11" hidden="0" customWidth="1"/>
    <x:col min="5" max="5" width="11" hidden="0" customWidth="1"/>
    <x:col min="6" max="6" width="11" hidden="0" customWidth="1"/>
    <x:col min="7" max="7" width="11" hidden="0" customWidth="1"/>
    <x:col min="8" max="8" width="11" hidden="0" customWidth="1"/>
    <x:col min="9" max="9" width="13" hidden="0" customWidth="1"/>
    <x:col min="10" max="10" width="15" hidden="0" customWidth="1"/>
    <x:col min="11" max="11" width="12" hidden="0" customWidth="1"/>
    <x:col min="12" max="12" width="20" hidden="0" customWidth="1"/>
    <x:col min="13" max="13" width="65" hidden="0" customWidth="1"/>
    <x:col min="14" max="14" width="85" hidden="0" customWidth="1"/>
  </x:cols>
  <x:sheetData>
    <x:row r="1" ht="30" customHeight="1">
      <x:c r="A1" s="182" t="str">
        <x:v>Current New Brunswick poll ledger and recency benchmark</x:v>
      </x:c>
      <x:c r="B1" s="182" t="str">
        <x:v>Current New Brunswick poll ledger and recency benchmark</x:v>
      </x:c>
      <x:c r="C1" s="182" t="str">
        <x:v>Current New Brunswick poll ledger and recency benchmark</x:v>
      </x:c>
      <x:c r="D1" s="182" t="str">
        <x:v>Current New Brunswick poll ledger and recency benchmark</x:v>
      </x:c>
      <x:c r="E1" s="182" t="str">
        <x:v>Current New Brunswick poll ledger and recency benchmark</x:v>
      </x:c>
      <x:c r="F1" s="182" t="str">
        <x:v>Current New Brunswick poll ledger and recency benchmark</x:v>
      </x:c>
      <x:c r="G1" s="182" t="str">
        <x:v>Current New Brunswick poll ledger and recency benchmark</x:v>
      </x:c>
      <x:c r="H1" s="182" t="str">
        <x:v>Current New Brunswick poll ledger and recency benchmark</x:v>
      </x:c>
      <x:c r="I1" s="182" t="str">
        <x:v>Current New Brunswick poll ledger and recency benchmark</x:v>
      </x:c>
      <x:c r="J1" s="182" t="str">
        <x:v>Current New Brunswick poll ledger and recency benchmark</x:v>
      </x:c>
      <x:c r="K1" s="182" t="str">
        <x:v>Current New Brunswick poll ledger and recency benchmark</x:v>
      </x:c>
      <x:c r="L1" s="182" t="str">
        <x:v>Current New Brunswick poll ledger and recency benchmark</x:v>
      </x:c>
      <x:c r="M1" s="182" t="str">
        <x:v>Current New Brunswick poll ledger and recency benchmark</x:v>
      </x:c>
      <x:c r="N1" s="182" t="str">
        <x:v>Current New Brunswick poll ledger and recency benchmark</x:v>
      </x:c>
    </x:row>
    <x:row r="2" ht="26" customHeight="1">
      <x:c r="A2" s="183" t="str">
        <x:v>Exact fieldwork and respondent bases are retained. Weights use a 90-day half-life and published midpoint-age inputs; no quality penalty or uncertainty interval is estimated.</x:v>
      </x:c>
      <x:c r="B2" s="183" t="str">
        <x:v>Exact fieldwork and respondent bases are retained. Weights use a 90-day half-life and published midpoint-age inputs; no quality penalty or uncertainty interval is estimated.</x:v>
      </x:c>
      <x:c r="C2" s="183" t="str">
        <x:v>Exact fieldwork and respondent bases are retained. Weights use a 90-day half-life and published midpoint-age inputs; no quality penalty or uncertainty interval is estimated.</x:v>
      </x:c>
      <x:c r="D2" s="183" t="str">
        <x:v>Exact fieldwork and respondent bases are retained. Weights use a 90-day half-life and published midpoint-age inputs; no quality penalty or uncertainty interval is estimated.</x:v>
      </x:c>
      <x:c r="E2" s="183" t="str">
        <x:v>Exact fieldwork and respondent bases are retained. Weights use a 90-day half-life and published midpoint-age inputs; no quality penalty or uncertainty interval is estimated.</x:v>
      </x:c>
      <x:c r="F2" s="183" t="str">
        <x:v>Exact fieldwork and respondent bases are retained. Weights use a 90-day half-life and published midpoint-age inputs; no quality penalty or uncertainty interval is estimated.</x:v>
      </x:c>
      <x:c r="G2" s="183" t="str">
        <x:v>Exact fieldwork and respondent bases are retained. Weights use a 90-day half-life and published midpoint-age inputs; no quality penalty or uncertainty interval is estimated.</x:v>
      </x:c>
      <x:c r="H2" s="183" t="str">
        <x:v>Exact fieldwork and respondent bases are retained. Weights use a 90-day half-life and published midpoint-age inputs; no quality penalty or uncertainty interval is estimated.</x:v>
      </x:c>
      <x:c r="I2" s="183" t="str">
        <x:v>Exact fieldwork and respondent bases are retained. Weights use a 90-day half-life and published midpoint-age inputs; no quality penalty or uncertainty interval is estimated.</x:v>
      </x:c>
      <x:c r="J2" s="183" t="str">
        <x:v>Exact fieldwork and respondent bases are retained. Weights use a 90-day half-life and published midpoint-age inputs; no quality penalty or uncertainty interval is estimated.</x:v>
      </x:c>
      <x:c r="K2" s="183" t="str">
        <x:v>Exact fieldwork and respondent bases are retained. Weights use a 90-day half-life and published midpoint-age inputs; no quality penalty or uncertainty interval is estimated.</x:v>
      </x:c>
      <x:c r="L2" s="183" t="str">
        <x:v>Exact fieldwork and respondent bases are retained. Weights use a 90-day half-life and published midpoint-age inputs; no quality penalty or uncertainty interval is estimated.</x:v>
      </x:c>
      <x:c r="M2" s="183" t="str">
        <x:v>Exact fieldwork and respondent bases are retained. Weights use a 90-day half-life and published midpoint-age inputs; no quality penalty or uncertainty interval is estimated.</x:v>
      </x:c>
      <x:c r="N2" s="183" t="str">
        <x:v>Exact fieldwork and respondent bases are retained. Weights use a 90-day half-life and published midpoint-age inputs; no quality penalty or uncertainty interval is estimated.</x:v>
      </x:c>
    </x:row>
    <x:row r="3">
      <x:c r="A3" s="184"/>
      <x:c r="B3" s="184"/>
      <x:c r="C3" s="184"/>
      <x:c r="D3" s="184"/>
      <x:c r="E3" s="184"/>
      <x:c r="F3" s="184"/>
      <x:c r="G3" s="184"/>
      <x:c r="H3" s="184"/>
      <x:c r="I3" s="184"/>
      <x:c r="J3" s="184"/>
      <x:c r="K3" s="184"/>
      <x:c r="L3" s="184"/>
      <x:c r="M3" s="184"/>
      <x:c r="N3" s="184"/>
    </x:row>
    <x:row r="4" ht="30" customHeight="1">
      <x:c r="A4" s="206" t="str">
        <x:v>Poll ID</x:v>
      </x:c>
      <x:c r="B4" s="207" t="str">
        <x:v>Pollster</x:v>
      </x:c>
      <x:c r="C4" s="207" t="str">
        <x:v>Midpoint</x:v>
      </x:c>
      <x:c r="D4" s="207" t="str">
        <x:v>Liberal</x:v>
      </x:c>
      <x:c r="E4" s="207" t="str">
        <x:v>PC</x:v>
      </x:c>
      <x:c r="F4" s="207" t="str">
        <x:v>Green</x:v>
      </x:c>
      <x:c r="G4" s="207" t="str">
        <x:v>Core 2026</x:v>
      </x:c>
      <x:c r="H4" s="207" t="str">
        <x:v>Age days</x:v>
      </x:c>
      <x:c r="I4" s="207" t="str">
        <x:v>Raw weight</x:v>
      </x:c>
      <x:c r="J4" s="207" t="str">
        <x:v>Normalized weight</x:v>
      </x:c>
      <x:c r="K4" s="207" t="str">
        <x:v>L-PC margin</x:v>
      </x:c>
      <x:c r="L4" s="207" t="str">
        <x:v>Grade</x:v>
      </x:c>
      <x:c r="M4" s="207" t="str">
        <x:v>URL</x:v>
      </x:c>
      <x:c r="N4" s="208" t="str">
        <x:v>Notes</x:v>
      </x:c>
    </x:row>
    <x:row r="5">
      <x:c r="A5" s="78" t="str">
        <x:v>holt-2025-10-abacus</x:v>
      </x:c>
      <x:c r="B5" s="78" t="str">
        <x:v>Abacus Data</x:v>
      </x:c>
      <x:c r="C5" s="107" t="n">
        <x:v>45957.5</x:v>
      </x:c>
      <x:c r="D5" s="110" t="n">
        <x:v>53</x:v>
      </x:c>
      <x:c r="E5" s="110" t="n">
        <x:v>29</x:v>
      </x:c>
      <x:c r="F5" s="110" t="n">
        <x:v>11</x:v>
      </x:c>
      <x:c r="G5" s="111" t="b">
        <x:v>0</x:v>
      </x:c>
      <x:c r="H5" s="110"/>
      <x:c r="I5" s="117" t="n">
        <x:f>IF(G5=TRUE,POWER(0.5,H5/90),0)</x:f>
        <x:v>0</x:v>
      </x:c>
      <x:c r="J5" s="117" t="n">
        <x:f>IF(I5=0,0,I5/SUM($I$5:$I$10))</x:f>
        <x:v>0</x:v>
      </x:c>
      <x:c r="K5" s="110" t="n">
        <x:f>D5-E5</x:f>
        <x:v>24</x:v>
      </x:c>
      <x:c r="L5" s="78" t="str">
        <x:v>A-</x:v>
      </x:c>
      <x:c r="M5" s="78" t="str">
        <x:v>https://abacusdata.ca/abacus-data-new-brunswick-poll-one-year-in-susan-holts-liberals-strengthen-their-lead/</x:v>
      </x:c>
      <x:c r="N5" s="78" t="str">
        <x:v>Raw undecided share and exact decided base not disclosed publicly.</x:v>
      </x:c>
    </x:row>
    <x:row r="6">
      <x:c r="A6" s="79" t="str">
        <x:v>holt-2025-11-porter</x:v>
      </x:c>
      <x:c r="B6" s="79" t="str">
        <x:v>Porter O'Brien</x:v>
      </x:c>
      <x:c r="C6" s="108" t="n">
        <x:v>45983.5</x:v>
      </x:c>
      <x:c r="D6" s="112" t="n">
        <x:v>49</x:v>
      </x:c>
      <x:c r="E6" s="112" t="n">
        <x:v>40</x:v>
      </x:c>
      <x:c r="F6" s="112" t="n">
        <x:v>8</x:v>
      </x:c>
      <x:c r="G6" s="113" t="b">
        <x:v>0</x:v>
      </x:c>
      <x:c r="H6" s="112"/>
      <x:c r="I6" s="118" t="n">
        <x:f>IF(G6=TRUE,POWER(0.5,H6/90),0)</x:f>
        <x:v>0</x:v>
      </x:c>
      <x:c r="J6" s="118" t="n">
        <x:f>IF(I6=0,0,I6/SUM($I$5:$I$10))</x:f>
        <x:v>0</x:v>
      </x:c>
      <x:c r="K6" s="112" t="n">
        <x:f>D6-E6</x:f>
        <x:v>9</x:v>
      </x:c>
      <x:c r="L6" s="79" t="str">
        <x:v>B</x:v>
      </x:c>
      <x:c r="M6" s="79" t="str">
        <x:v>https://www.porterobrien.com/post/porter-o-brien-releases-first-public-semi-annual-new-brunswick-poll-liberals-narrowly-lead-pcs-amo</x:v>
      </x:c>
      <x:c r="N6" s="79" t="str">
        <x:v>Published retrospectively in a release whose text says June 23, 2026; the CMS byline displays June 26. Exact decided n and full all-respondent distribution unavailable.</x:v>
      </x:c>
    </x:row>
    <x:row r="7">
      <x:c r="A7" s="79" t="str">
        <x:v>holt-2025-11-angus-reid</x:v>
      </x:c>
      <x:c r="B7" s="79" t="str">
        <x:v>Angus Reid Institute</x:v>
      </x:c>
      <x:c r="C7" s="108" t="n">
        <x:v>45989.5</x:v>
      </x:c>
      <x:c r="D7" s="112" t="n">
        <x:v>49</x:v>
      </x:c>
      <x:c r="E7" s="112" t="n">
        <x:v>32</x:v>
      </x:c>
      <x:c r="F7" s="112" t="n">
        <x:v>11</x:v>
      </x:c>
      <x:c r="G7" s="113" t="b">
        <x:v>0</x:v>
      </x:c>
      <x:c r="H7" s="112"/>
      <x:c r="I7" s="118" t="n">
        <x:f>IF(G7=TRUE,POWER(0.5,H7/90),0)</x:f>
        <x:v>0</x:v>
      </x:c>
      <x:c r="J7" s="118" t="n">
        <x:f>IF(I7=0,0,I7/SUM($I$5:$I$10))</x:f>
        <x:v>0</x:v>
      </x:c>
      <x:c r="K7" s="112" t="n">
        <x:f>D7-E7</x:f>
        <x:v>17</x:v>
      </x:c>
      <x:c r="L7" s="79" t="str">
        <x:v>A</x:v>
      </x:c>
      <x:c r="M7" s="79" t="str">
        <x:v>https://angusreid.org/government-satisfaction-december-2025/</x:v>
      </x:c>
      <x:c r="N7" s="79" t="str">
        <x:v>PA 3 and other 2 combined here. Difference between total and decided bases is not a published undecided rate.</x:v>
      </x:c>
    </x:row>
    <x:row r="8">
      <x:c r="A8" s="79" t="str">
        <x:v>holt-2026-05-porter</x:v>
      </x:c>
      <x:c r="B8" s="79" t="str">
        <x:v>Porter O'Brien</x:v>
      </x:c>
      <x:c r="C8" s="108" t="n">
        <x:v>46172.5</x:v>
      </x:c>
      <x:c r="D8" s="112" t="n">
        <x:v>43</x:v>
      </x:c>
      <x:c r="E8" s="112" t="n">
        <x:v>39</x:v>
      </x:c>
      <x:c r="F8" s="112" t="n">
        <x:v>13</x:v>
      </x:c>
      <x:c r="G8" s="113" t="b">
        <x:v>1</x:v>
      </x:c>
      <x:c r="H8" s="112" t="n">
        <x:v>87.5</x:v>
      </x:c>
      <x:c r="I8" s="118" t="n">
        <x:f>IF(G8=TRUE,POWER(0.5,H8/90),0)</x:f>
        <x:v>0.5097203218510724</x:v>
      </x:c>
      <x:c r="J8" s="118" t="n">
        <x:f>IF(I8=0,0,I8/SUM($I$5:$I$10))</x:f>
        <x:v>0.26660162310677255</x:v>
      </x:c>
      <x:c r="K8" s="112" t="n">
        <x:f>D8-E8</x:f>
        <x:v>4</x:v>
      </x:c>
      <x:c r="L8" s="79" t="str">
        <x:v>A</x:v>
      </x:c>
      <x:c r="M8" s="79" t="str">
        <x:v>https://www.porterobrien.com/post/porter-o-brien-releases-first-public-semi-annual-new-brunswick-poll-liberals-narrowly-lead-pcs-amo</x:v>
      </x:c>
      <x:c r="N8" s="79" t="str">
        <x:v>All-respondent values were L32, PC29, Green10, other4, undecided21, would not vote3, ineligible1.</x:v>
      </x:c>
    </x:row>
    <x:row r="9">
      <x:c r="A9" s="79" t="str">
        <x:v>holt-2026-06-narrative-derived</x:v>
      </x:c>
      <x:c r="B9" s="79" t="str">
        <x:v>Narrative Research</x:v>
      </x:c>
      <x:c r="C9" s="108" t="n">
        <x:v>46186.5</x:v>
      </x:c>
      <x:c r="D9" s="112" t="n">
        <x:v>40.57971014492754</x:v>
      </x:c>
      <x:c r="E9" s="112" t="n">
        <x:v>30.434782608695656</x:v>
      </x:c>
      <x:c r="F9" s="112" t="n">
        <x:v>13.043478260869565</x:v>
      </x:c>
      <x:c r="G9" s="113" t="b">
        <x:v>1</x:v>
      </x:c>
      <x:c r="H9" s="112" t="n">
        <x:v>73.5</x:v>
      </x:c>
      <x:c r="I9" s="118" t="n">
        <x:f>IF(G9=TRUE,POWER(0.5,H9/90),0)</x:f>
        <x:v>0.5677522145354387</x:v>
      </x:c>
      <x:c r="J9" s="118" t="n">
        <x:f>IF(I9=0,0,I9/SUM($I$5:$I$10))</x:f>
        <x:v>0.2969543403094632</x:v>
      </x:c>
      <x:c r="K9" s="112" t="n">
        <x:f>D9-E9</x:f>
        <x:v>10.144927536231883</x:v>
      </x:c>
      <x:c r="L9" s="79" t="str">
        <x:v>A (derived normalization)</x:v>
      </x:c>
      <x:c r="M9" s="79" t="str">
        <x:v>https://narrativeresearch.ca/low-provincial-government-satisfaction-levels-reflected-in-voter-intentions-across-atlantic-canada/</x:v>
      </x:c>
      <x:c r="N9" s="79" t="str">
        <x:v>Party denominator is 69 from rounded all-eligible values: L28, PC21, Green9, Libertarian6, NDP4, other1. Derived vote shares and effective n=342 are approximate, not pollster-reported.</x:v>
      </x:c>
    </x:row>
    <x:row r="10">
      <x:c r="A10" s="80" t="str">
        <x:v>holt-2026-08-abacus</x:v>
      </x:c>
      <x:c r="B10" s="80" t="str">
        <x:v>Abacus Data</x:v>
      </x:c>
      <x:c r="C10" s="109" t="n">
        <x:v>46237.5</x:v>
      </x:c>
      <x:c r="D10" s="114" t="n">
        <x:v>45</x:v>
      </x:c>
      <x:c r="E10" s="114" t="n">
        <x:v>31</x:v>
      </x:c>
      <x:c r="F10" s="114" t="n">
        <x:v>14</x:v>
      </x:c>
      <x:c r="G10" s="115" t="b">
        <x:v>1</x:v>
      </x:c>
      <x:c r="H10" s="114" t="n">
        <x:v>23.5</x:v>
      </x:c>
      <x:c r="I10" s="119" t="n">
        <x:f>IF(G10=TRUE,POWER(0.5,H10/90),0)</x:f>
        <x:v>0.8344450127685898</x:v>
      </x:c>
      <x:c r="J10" s="119" t="n">
        <x:f>IF(I10=0,0,I10/SUM($I$5:$I$10))</x:f>
        <x:v>0.43644403658376435</x:v>
      </x:c>
      <x:c r="K10" s="114" t="n">
        <x:f>D10-E10</x:f>
        <x:v>14</x:v>
      </x:c>
      <x:c r="L10" s="80" t="str">
        <x:v>A-</x:v>
      </x:c>
      <x:c r="M10" s="80" t="str">
        <x:v>https://abacusdata.ca/holts-liberals-maintain-strong-lead-as-pcs-search-for-new-leader/</x:v>
      </x:c>
      <x:c r="N10" s="80" t="str">
        <x:v>Total sample n=601; public release does not disclose raw undecided or decided base. Reported party values sum to 99 from rounding.</x:v>
      </x:c>
    </x:row>
    <x:row r="11">
      <x:c r="A11" s="185" t="str">
        <x:v>RECENCY-WEIGHTED BENCHMARK</x:v>
      </x:c>
      <x:c r="B11" s="186"/>
      <x:c r="C11" s="186"/>
      <x:c r="D11" s="221" t="n">
        <x:f>SUMPRODUCT(D5:D10,J5:J10)</x:f>
        <x:v>43.1541724958968</x:v>
      </x:c>
      <x:c r="E11" s="221" t="n">
        <x:f>SUMPRODUCT(E5:E10,J5:J10)</x:f>
        <x:v>32.964969227287966</x:v>
      </x:c>
      <x:c r="F11" s="221" t="n">
        <x:f>SUMPRODUCT(F5:F10,J5:J10)</x:f>
        <x:v>13.449355094858092</x:v>
      </x:c>
      <x:c r="G11" s="221"/>
      <x:c r="H11" s="221"/>
      <x:c r="I11" s="221"/>
      <x:c r="J11" s="221"/>
      <x:c r="K11" s="221" t="n">
        <x:f>D11-E11</x:f>
        <x:v>10.189203268608836</x:v>
      </x:c>
      <x:c r="L11" s="186"/>
      <x:c r="M11" s="186"/>
      <x:c r="N11" s="187"/>
    </x:row>
    <x:row r="12">
      <x:c r="A12" s="184"/>
      <x:c r="B12" s="184"/>
      <x:c r="C12" s="184"/>
      <x:c r="D12" s="184"/>
      <x:c r="E12" s="184"/>
      <x:c r="F12" s="184"/>
      <x:c r="G12" s="184"/>
      <x:c r="H12" s="184"/>
      <x:c r="I12" s="184"/>
      <x:c r="J12" s="184"/>
      <x:c r="K12" s="184"/>
      <x:c r="L12" s="184"/>
      <x:c r="M12" s="184"/>
      <x:c r="N12" s="184"/>
    </x:row>
    <x:row r="13">
      <x:c r="A13" s="184"/>
      <x:c r="B13" s="184"/>
      <x:c r="C13" s="184"/>
      <x:c r="D13" s="184"/>
      <x:c r="E13" s="184"/>
      <x:c r="F13" s="184"/>
      <x:c r="G13" s="184"/>
      <x:c r="H13" s="184"/>
      <x:c r="I13" s="184"/>
      <x:c r="J13" s="184"/>
      <x:c r="K13" s="184"/>
      <x:c r="L13" s="184"/>
      <x:c r="M13" s="184"/>
      <x:c r="N13" s="184"/>
    </x:row>
    <x:row r="14">
      <x:c r="A14" s="184"/>
      <x:c r="B14" s="184"/>
      <x:c r="C14" s="184"/>
      <x:c r="D14" s="184"/>
      <x:c r="E14" s="184"/>
      <x:c r="F14" s="184"/>
      <x:c r="G14" s="184"/>
      <x:c r="H14" s="184"/>
      <x:c r="I14" s="209"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J14" s="210"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K14" s="210"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L14" s="210"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M14" s="210"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N14" s="211"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row>
    <x:row r="15">
      <x:c r="A15" s="184"/>
      <x:c r="B15" s="184"/>
      <x:c r="C15" s="184"/>
      <x:c r="D15" s="184"/>
      <x:c r="E15" s="184"/>
      <x:c r="F15" s="184"/>
      <x:c r="G15" s="184"/>
      <x:c r="H15" s="184"/>
      <x:c r="I15" s="212"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J15" s="213"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K15" s="213"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L15" s="213"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M15" s="213"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N15" s="214"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row>
    <x:row r="16">
      <x:c r="A16" s="184"/>
      <x:c r="B16" s="184"/>
      <x:c r="C16" s="184"/>
      <x:c r="D16" s="184"/>
      <x:c r="E16" s="184"/>
      <x:c r="F16" s="184"/>
      <x:c r="G16" s="184"/>
      <x:c r="H16" s="184"/>
      <x:c r="I16" s="212"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J16" s="213"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K16" s="213"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L16" s="213"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M16" s="213"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N16" s="214"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row>
    <x:row r="17">
      <x:c r="A17" s="184"/>
      <x:c r="B17" s="184"/>
      <x:c r="C17" s="184"/>
      <x:c r="D17" s="184"/>
      <x:c r="E17" s="184"/>
      <x:c r="F17" s="184"/>
      <x:c r="G17" s="184"/>
      <x:c r="H17" s="184"/>
      <x:c r="I17" s="212"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J17" s="213"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K17" s="213"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L17" s="213"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M17" s="213"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N17" s="214"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row>
    <x:row r="18">
      <x:c r="A18" s="184"/>
      <x:c r="B18" s="184"/>
      <x:c r="C18" s="184"/>
      <x:c r="D18" s="184"/>
      <x:c r="E18" s="184"/>
      <x:c r="F18" s="184"/>
      <x:c r="G18" s="184"/>
      <x:c r="H18" s="184"/>
      <x:c r="I18" s="212"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J18" s="213"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K18" s="213"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L18" s="213"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M18" s="213"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N18" s="214"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row>
    <x:row r="19">
      <x:c r="A19" s="184"/>
      <x:c r="B19" s="184"/>
      <x:c r="C19" s="184"/>
      <x:c r="D19" s="184"/>
      <x:c r="E19" s="184"/>
      <x:c r="F19" s="184"/>
      <x:c r="G19" s="184"/>
      <x:c r="H19" s="184"/>
      <x:c r="I19" s="212"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J19" s="213"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K19" s="213"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L19" s="213"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M19" s="213"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N19" s="214"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row>
    <x:row r="20">
      <x:c r="A20" s="184"/>
      <x:c r="B20" s="184"/>
      <x:c r="C20" s="184"/>
      <x:c r="D20" s="184"/>
      <x:c r="E20" s="184"/>
      <x:c r="F20" s="184"/>
      <x:c r="G20" s="184"/>
      <x:c r="H20" s="184"/>
      <x:c r="I20" s="215"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J20" s="216"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K20" s="216"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L20" s="216"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M20" s="216"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c r="N20" s="217" t="str">
        <x:v>Narrative's June 2026 row is a derived decided normalization from rounded all-eligible values. Abacus does not disclose a decided base. The result is weighted only by recency; no quality penalty or interval is estimated. It is not a latent-support estimate or 2028 forecast.</x:v>
      </x:c>
    </x:row>
  </x:sheetData>
  <x:mergeCells>
    <x:mergeCell ref="A1:N1"/>
    <x:mergeCell ref="A2:N2"/>
    <x:mergeCell ref="A11:C11"/>
    <x:mergeCell ref="I14:N20"/>
  </x:mergeCells>
  <x:conditionalFormatting sqref="G5:G10">
    <x:cfRule type="cellIs" dxfId="9" priority="1" operator="equal">
      <x:formula>TRUE</x:formula>
    </x:cfRule>
  </x:conditionalFormatting>
  <x:pageMargins left="0.7" right="0.7" top="0.75" bottom="0.75" header="0.3" footer="0.3"/>
  <x:drawing xmlns:r="http://schemas.openxmlformats.org/officeDocument/2006/relationships" r:id="R42732f91838347e0"/>
</x:worksheet>
</file>

<file path=xl/worksheets/sheet11.xml><?xml version="1.0" encoding="utf-8"?>
<x:worksheet xmlns:x="http://schemas.openxmlformats.org/spreadsheetml/2006/main">
  <x:sheetViews>
    <x:sheetView showGridLines="0" workbookViewId="0"/>
  </x:sheetViews>
  <x:sheetFormatPr defaultRowHeight="15"/>
  <x:cols>
    <x:col min="1" max="1" width="13" hidden="0" customWidth="1"/>
    <x:col min="2" max="2" width="38" hidden="0" customWidth="1"/>
    <x:col min="3" max="3" width="24" hidden="0" customWidth="1"/>
    <x:col min="4" max="4" width="10" hidden="0" customWidth="1"/>
    <x:col min="5" max="5" width="12" hidden="0" customWidth="1"/>
    <x:col min="6" max="6" width="12" hidden="0" customWidth="1"/>
    <x:col min="7" max="7" width="12" hidden="0" customWidth="1"/>
    <x:col min="8" max="8" width="12" hidden="0" customWidth="1"/>
    <x:col min="9" max="9" width="68" hidden="0" customWidth="1"/>
    <x:col min="10" max="10" width="80" hidden="0" customWidth="1"/>
  </x:cols>
  <x:sheetData>
    <x:row r="1" ht="30" customHeight="1">
      <x:c r="A1" s="182" t="str">
        <x:v>Government, leader and direction indicators</x:v>
      </x:c>
      <x:c r="B1" s="182" t="str">
        <x:v>Government, leader and direction indicators</x:v>
      </x:c>
      <x:c r="C1" s="182" t="str">
        <x:v>Government, leader and direction indicators</x:v>
      </x:c>
      <x:c r="D1" s="182" t="str">
        <x:v>Government, leader and direction indicators</x:v>
      </x:c>
      <x:c r="E1" s="182" t="str">
        <x:v>Government, leader and direction indicators</x:v>
      </x:c>
      <x:c r="F1" s="182" t="str">
        <x:v>Government, leader and direction indicators</x:v>
      </x:c>
      <x:c r="G1" s="182" t="str">
        <x:v>Government, leader and direction indicators</x:v>
      </x:c>
      <x:c r="H1" s="182" t="str">
        <x:v>Government, leader and direction indicators</x:v>
      </x:c>
      <x:c r="I1" s="182" t="str">
        <x:v>Government, leader and direction indicators</x:v>
      </x:c>
      <x:c r="J1" s="182" t="str">
        <x:v>Government, leader and direction indicators</x:v>
      </x:c>
    </x:row>
    <x:row r="2" ht="26" customHeight="1">
      <x:c r="A2" s="183" t="str">
        <x:v>Government satisfaction, handling, leader approval, favourability and direction are separate question series and are not pooled.</x:v>
      </x:c>
      <x:c r="B2" s="183" t="str">
        <x:v>Government satisfaction, handling, leader approval, favourability and direction are separate question series and are not pooled.</x:v>
      </x:c>
      <x:c r="C2" s="183" t="str">
        <x:v>Government satisfaction, handling, leader approval, favourability and direction are separate question series and are not pooled.</x:v>
      </x:c>
      <x:c r="D2" s="183" t="str">
        <x:v>Government satisfaction, handling, leader approval, favourability and direction are separate question series and are not pooled.</x:v>
      </x:c>
      <x:c r="E2" s="183" t="str">
        <x:v>Government satisfaction, handling, leader approval, favourability and direction are separate question series and are not pooled.</x:v>
      </x:c>
      <x:c r="F2" s="183" t="str">
        <x:v>Government satisfaction, handling, leader approval, favourability and direction are separate question series and are not pooled.</x:v>
      </x:c>
      <x:c r="G2" s="183" t="str">
        <x:v>Government satisfaction, handling, leader approval, favourability and direction are separate question series and are not pooled.</x:v>
      </x:c>
      <x:c r="H2" s="183" t="str">
        <x:v>Government satisfaction, handling, leader approval, favourability and direction are separate question series and are not pooled.</x:v>
      </x:c>
      <x:c r="I2" s="183" t="str">
        <x:v>Government satisfaction, handling, leader approval, favourability and direction are separate question series and are not pooled.</x:v>
      </x:c>
      <x:c r="J2" s="183" t="str">
        <x:v>Government satisfaction, handling, leader approval, favourability and direction are separate question series and are not pooled.</x:v>
      </x:c>
    </x:row>
    <x:row r="3">
      <x:c r="A3" s="184"/>
      <x:c r="B3" s="184"/>
      <x:c r="C3" s="184"/>
      <x:c r="D3" s="184"/>
      <x:c r="E3" s="184"/>
      <x:c r="F3" s="184"/>
      <x:c r="G3" s="184"/>
      <x:c r="H3" s="184"/>
      <x:c r="I3" s="184"/>
      <x:c r="J3" s="184"/>
    </x:row>
    <x:row r="4" ht="30" customHeight="1">
      <x:c r="A4" s="206" t="str">
        <x:v>Date</x:v>
      </x:c>
      <x:c r="B4" s="207" t="str">
        <x:v>Measure</x:v>
      </x:c>
      <x:c r="C4" s="207" t="str">
        <x:v>Pollster</x:v>
      </x:c>
      <x:c r="D4" s="207" t="str">
        <x:v>n</x:v>
      </x:c>
      <x:c r="E4" s="207" t="str">
        <x:v>Positive</x:v>
      </x:c>
      <x:c r="F4" s="207" t="str">
        <x:v>Negative</x:v>
      </x:c>
      <x:c r="G4" s="207" t="str">
        <x:v>Residual</x:v>
      </x:c>
      <x:c r="H4" s="207" t="str">
        <x:v>Net</x:v>
      </x:c>
      <x:c r="I4" s="207" t="str">
        <x:v>URL</x:v>
      </x:c>
      <x:c r="J4" s="208" t="str">
        <x:v>Notes</x:v>
      </x:c>
    </x:row>
    <x:row r="5">
      <x:c r="A5" s="98" t="n">
        <x:v>45628.5</x:v>
      </x:c>
      <x:c r="B5" s="81" t="str">
        <x:v>Premier approval</x:v>
      </x:c>
      <x:c r="C5" s="81" t="str">
        <x:v>Angus Reid Institute</x:v>
      </x:c>
      <x:c r="D5" s="81" t="n">
        <x:v>277</x:v>
      </x:c>
      <x:c r="E5" s="120" t="n">
        <x:v>53</x:v>
      </x:c>
      <x:c r="F5" s="120" t="n">
        <x:v>28</x:v>
      </x:c>
      <x:c r="G5" s="120" t="str">
        <x:v>18</x:v>
      </x:c>
      <x:c r="H5" s="120" t="n">
        <x:v>25</x:v>
      </x:c>
      <x:c r="I5" s="81" t="str">
        <x:v>https://angusreid.org/premiers-performance-approval-moe-houston-kinew-ford-eby-smith-legault-holt-furey/</x:v>
      </x:c>
      <x:c r="J5" s="81" t="str">
        <x:v>Online Forum; small NB subsample. Do not merge with government satisfaction or favourability.</x:v>
      </x:c>
    </x:row>
    <x:row r="6">
      <x:c r="A6" s="99" t="n">
        <x:v>45730.5</x:v>
      </x:c>
      <x:c r="B6" s="82" t="str">
        <x:v>Premier approval</x:v>
      </x:c>
      <x:c r="C6" s="82" t="str">
        <x:v>Angus Reid Institute</x:v>
      </x:c>
      <x:c r="D6" s="82" t="n">
        <x:v>248</x:v>
      </x:c>
      <x:c r="E6" s="121" t="n">
        <x:v>60</x:v>
      </x:c>
      <x:c r="F6" s="121" t="n">
        <x:v>28</x:v>
      </x:c>
      <x:c r="G6" s="121" t="str">
        <x:v>12</x:v>
      </x:c>
      <x:c r="H6" s="121" t="n">
        <x:v>32</x:v>
      </x:c>
      <x:c r="I6" s="82" t="str">
        <x:v>https://angusreid.org/premier-approval-ratings-march-2025-ford-eby-smith-legault/</x:v>
      </x:c>
      <x:c r="J6" s="82" t="str">
        <x:v>Online Forum; small NB subsample. Do not merge with government satisfaction or favourability.</x:v>
      </x:c>
    </x:row>
    <x:row r="7">
      <x:c r="A7" s="99" t="n">
        <x:v>45813.5</x:v>
      </x:c>
      <x:c r="B7" s="82" t="str">
        <x:v>Premier approval</x:v>
      </x:c>
      <x:c r="C7" s="82" t="str">
        <x:v>Angus Reid Institute</x:v>
      </x:c>
      <x:c r="D7" s="82" t="n">
        <x:v>257</x:v>
      </x:c>
      <x:c r="E7" s="121" t="n">
        <x:v>58</x:v>
      </x:c>
      <x:c r="F7" s="121" t="n">
        <x:v>33</x:v>
      </x:c>
      <x:c r="G7" s="121" t="str">
        <x:v>9</x:v>
      </x:c>
      <x:c r="H7" s="121" t="n">
        <x:v>25</x:v>
      </x:c>
      <x:c r="I7" s="82" t="str">
        <x:v>https://angusreid.org/june-2025-premiers-approval-rankings/</x:v>
      </x:c>
      <x:c r="J7" s="82" t="str">
        <x:v>Online Forum; small NB subsample. Do not merge with government satisfaction or favourability.</x:v>
      </x:c>
    </x:row>
    <x:row r="8">
      <x:c r="A8" s="99" t="n">
        <x:v>45901.5</x:v>
      </x:c>
      <x:c r="B8" s="82" t="str">
        <x:v>Premier approval</x:v>
      </x:c>
      <x:c r="C8" s="82" t="str">
        <x:v>Angus Reid Institute</x:v>
      </x:c>
      <x:c r="D8" s="82" t="n">
        <x:v>259</x:v>
      </x:c>
      <x:c r="E8" s="121" t="n">
        <x:v>52</x:v>
      </x:c>
      <x:c r="F8" s="121" t="n">
        <x:v>38</x:v>
      </x:c>
      <x:c r="G8" s="121" t="str">
        <x:v>9</x:v>
      </x:c>
      <x:c r="H8" s="121" t="n">
        <x:v>14</x:v>
      </x:c>
      <x:c r="I8" s="82" t="str">
        <x:v>https://angusreid.org/premiers-approval-sept-2025-ford-legault-eby-smith-moe-kinew/</x:v>
      </x:c>
      <x:c r="J8" s="82" t="str">
        <x:v>Online Forum; small NB subsample. Do not merge with government satisfaction or favourability.</x:v>
      </x:c>
    </x:row>
    <x:row r="9">
      <x:c r="A9" s="99" t="n">
        <x:v>45989.5</x:v>
      </x:c>
      <x:c r="B9" s="82" t="str">
        <x:v>Premier approval</x:v>
      </x:c>
      <x:c r="C9" s="82" t="str">
        <x:v>Angus Reid Institute</x:v>
      </x:c>
      <x:c r="D9" s="82" t="n">
        <x:v>231</x:v>
      </x:c>
      <x:c r="E9" s="121" t="n">
        <x:v>56</x:v>
      </x:c>
      <x:c r="F9" s="121" t="n">
        <x:v>35</x:v>
      </x:c>
      <x:c r="G9" s="121" t="str">
        <x:v>9</x:v>
      </x:c>
      <x:c r="H9" s="121" t="n">
        <x:v>21</x:v>
      </x:c>
      <x:c r="I9" s="82" t="str">
        <x:v>https://angusreid.org/premiers-performance-december-2025-approval-ratings-reflect-a-divided-country/</x:v>
      </x:c>
      <x:c r="J9" s="82" t="str">
        <x:v>Online Forum; small NB subsample. Do not merge with government satisfaction or favourability.</x:v>
      </x:c>
    </x:row>
    <x:row r="10">
      <x:c r="A10" s="99" t="n">
        <x:v>46095.5</x:v>
      </x:c>
      <x:c r="B10" s="82" t="str">
        <x:v>Premier approval</x:v>
      </x:c>
      <x:c r="C10" s="82" t="str">
        <x:v>Angus Reid Institute</x:v>
      </x:c>
      <x:c r="D10" s="82" t="n">
        <x:v>248</x:v>
      </x:c>
      <x:c r="E10" s="121" t="n">
        <x:v>54</x:v>
      </x:c>
      <x:c r="F10" s="121" t="n">
        <x:v>40</x:v>
      </x:c>
      <x:c r="G10" s="121" t="str">
        <x:v>5</x:v>
      </x:c>
      <x:c r="H10" s="121" t="n">
        <x:v>14</x:v>
      </x:c>
      <x:c r="I10" s="82" t="str">
        <x:v>https://angusreid.org/premiers-performance-march-2026/</x:v>
      </x:c>
      <x:c r="J10" s="82" t="str">
        <x:v>Online Forum; small NB subsample. Do not merge with government satisfaction or favourability.</x:v>
      </x:c>
    </x:row>
    <x:row r="11">
      <x:c r="A11" s="99" t="n">
        <x:v>46182.5</x:v>
      </x:c>
      <x:c r="B11" s="82" t="str">
        <x:v>Premier approval</x:v>
      </x:c>
      <x:c r="C11" s="82" t="str">
        <x:v>Angus Reid Institute</x:v>
      </x:c>
      <x:c r="D11" s="82" t="n">
        <x:v>243</x:v>
      </x:c>
      <x:c r="E11" s="121" t="n">
        <x:v>41</x:v>
      </x:c>
      <x:c r="F11" s="121" t="n">
        <x:v>49</x:v>
      </x:c>
      <x:c r="G11" s="121" t="str">
        <x:v>10</x:v>
      </x:c>
      <x:c r="H11" s="121" t="n">
        <x:v>-8</x:v>
      </x:c>
      <x:c r="I11" s="82" t="str">
        <x:v>https://angusreid.org/premiers-performance-june-2026/</x:v>
      </x:c>
      <x:c r="J11" s="82" t="str">
        <x:v>Online Forum; small NB subsample. Do not merge with government satisfaction or favourability.</x:v>
      </x:c>
    </x:row>
    <x:row r="12">
      <x:c r="A12" s="99" t="n">
        <x:v>45791.5</x:v>
      </x:c>
      <x:c r="B12" s="82" t="str">
        <x:v>Government satisfaction</x:v>
      </x:c>
      <x:c r="C12" s="82" t="str">
        <x:v>Narrative Research</x:v>
      </x:c>
      <x:c r="D12" s="82" t="n">
        <x:v>400</x:v>
      </x:c>
      <x:c r="E12" s="121" t="n">
        <x:v>59</x:v>
      </x:c>
      <x:c r="F12" s="121" t="n">
        <x:v>29</x:v>
      </x:c>
      <x:c r="G12" s="121" t="str">
        <x:v>12</x:v>
      </x:c>
      <x:c r="H12" s="121" t="n">
        <x:v>30</x:v>
      </x:c>
      <x:c r="I12" s="82" t="str">
        <x:v>https://narrativeresearch.ca/across-the-region-most-atlantic-canadians-are-satisfied-with-their-provincial-governments-performance/</x:v>
      </x:c>
      <x:c r="J12" s="82" t="str">
        <x:v>Telephone probability sample; residual combines neither and don't know.</x:v>
      </x:c>
    </x:row>
    <x:row r="13">
      <x:c r="A13" s="99" t="n">
        <x:v>45887.5</x:v>
      </x:c>
      <x:c r="B13" s="82" t="str">
        <x:v>Government satisfaction</x:v>
      </x:c>
      <x:c r="C13" s="82" t="str">
        <x:v>Narrative Research</x:v>
      </x:c>
      <x:c r="D13" s="82" t="n">
        <x:v>400</x:v>
      </x:c>
      <x:c r="E13" s="121" t="n">
        <x:v>63</x:v>
      </x:c>
      <x:c r="F13" s="121" t="n">
        <x:v>30</x:v>
      </x:c>
      <x:c r="G13" s="121" t="str">
        <x:v>7</x:v>
      </x:c>
      <x:c r="H13" s="121" t="n">
        <x:v>33</x:v>
      </x:c>
      <x:c r="I13" s="82" t="str">
        <x:v>https://narrativeresearch.ca/atlantic-canadians-are-largely-satisfied-with-the-performance-of-both-their-provincial-and-federal-governments/</x:v>
      </x:c>
      <x:c r="J13" s="82" t="str">
        <x:v>Telephone probability sample.</x:v>
      </x:c>
    </x:row>
    <x:row r="14">
      <x:c r="A14" s="99" t="n">
        <x:v>46186.5</x:v>
      </x:c>
      <x:c r="B14" s="82" t="str">
        <x:v>Government satisfaction</x:v>
      </x:c>
      <x:c r="C14" s="82" t="str">
        <x:v>Narrative Research</x:v>
      </x:c>
      <x:c r="D14" s="82" t="n">
        <x:v>495</x:v>
      </x:c>
      <x:c r="E14" s="121" t="n">
        <x:v>35</x:v>
      </x:c>
      <x:c r="F14" s="121" t="n">
        <x:v>37</x:v>
      </x:c>
      <x:c r="G14" s="121" t="str">
        <x:v>28</x:v>
      </x:c>
      <x:c r="H14" s="121" t="n">
        <x:v>-2</x:v>
      </x:c>
      <x:c r="I14" s="82" t="str">
        <x:v>https://narrativeresearch.ca/low-provincial-government-satisfaction-levels-reflected-in-voter-intentions-across-atlantic-canada/</x:v>
      </x:c>
      <x:c r="J14" s="82" t="str">
        <x:v>Online panel.</x:v>
      </x:c>
    </x:row>
    <x:row r="15">
      <x:c r="A15" s="99" t="n">
        <x:v>46237.5</x:v>
      </x:c>
      <x:c r="B15" s="82" t="str">
        <x:v>Government handling approval</x:v>
      </x:c>
      <x:c r="C15" s="82" t="str">
        <x:v>Abacus Data</x:v>
      </x:c>
      <x:c r="D15" s="82" t="n">
        <x:v>601</x:v>
      </x:c>
      <x:c r="E15" s="121" t="n">
        <x:v>32</x:v>
      </x:c>
      <x:c r="F15" s="121" t="n">
        <x:v>37</x:v>
      </x:c>
      <x:c r="G15" s="121" t="str">
        <x:v>31</x:v>
      </x:c>
      <x:c r="H15" s="121" t="n">
        <x:v>-5</x:v>
      </x:c>
      <x:c r="I15" s="82" t="str">
        <x:v>https://abacusdata.ca/holts-liberals-maintain-strong-lead-as-pcs-search-for-new-leader/</x:v>
      </x:c>
      <x:c r="J15" s="82" t="str">
        <x:v>Distinct wording from Narrative government satisfaction.</x:v>
      </x:c>
    </x:row>
    <x:row r="16">
      <x:c r="A16" s="99" t="n">
        <x:v>46237.5</x:v>
      </x:c>
      <x:c r="B16" s="82" t="str">
        <x:v>Holt favourability</x:v>
      </x:c>
      <x:c r="C16" s="82" t="str">
        <x:v>Abacus Data</x:v>
      </x:c>
      <x:c r="D16" s="82" t="n">
        <x:v>601</x:v>
      </x:c>
      <x:c r="E16" s="121" t="n">
        <x:v>35</x:v>
      </x:c>
      <x:c r="F16" s="121" t="n">
        <x:v>32</x:v>
      </x:c>
      <x:c r="G16" s="121" t="str">
        <x:v>33</x:v>
      </x:c>
      <x:c r="H16" s="121" t="n">
        <x:v>3</x:v>
      </x:c>
      <x:c r="I16" s="82" t="str">
        <x:v>https://abacusdata.ca/holts-liberals-maintain-strong-lead-as-pcs-search-for-new-leader/</x:v>
      </x:c>
      <x:c r="J16" s="82" t="str">
        <x:v>Leader favourability, not approval.</x:v>
      </x:c>
    </x:row>
    <x:row r="17">
      <x:c r="A17" s="100" t="n">
        <x:v>46237.5</x:v>
      </x:c>
      <x:c r="B17" s="83" t="str">
        <x:v>Right direction</x:v>
      </x:c>
      <x:c r="C17" s="83" t="str">
        <x:v>Abacus Data</x:v>
      </x:c>
      <x:c r="D17" s="83" t="n">
        <x:v>601</x:v>
      </x:c>
      <x:c r="E17" s="122" t="n">
        <x:v>34</x:v>
      </x:c>
      <x:c r="F17" s="122" t="n">
        <x:v>45</x:v>
      </x:c>
      <x:c r="G17" s="122" t="str">
        <x:v>21</x:v>
      </x:c>
      <x:c r="H17" s="122" t="n">
        <x:v>-11</x:v>
      </x:c>
      <x:c r="I17" s="83" t="str">
        <x:v>https://abacusdata.ca/holts-liberals-maintain-strong-lead-as-pcs-search-for-new-leader/</x:v>
      </x:c>
      <x:c r="J17" s="83" t="str">
        <x:v>Direction-of-province measure.</x:v>
      </x:c>
    </x:row>
  </x:sheetData>
  <x:mergeCells>
    <x:mergeCell ref="A1:J1"/>
    <x:mergeCell ref="A2:J2"/>
  </x:mergeCells>
  <x:conditionalFormatting sqref="H5:H17">
    <x:cfRule type="colorScale" priority="1">
      <x:colorScale>
        <x:cfvo type="min"/>
        <x:cfvo type="percentile" val="50"/>
        <x:cfvo type="max"/>
        <x:color rgb="FFB94A48"/>
        <x:color rgb="FFFFFFFF"/>
        <x:color rgb="FF4C956C"/>
      </x:colorScale>
    </x:cfRule>
  </x:conditionalFormatting>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8" hidden="0" customWidth="1"/>
    <x:col min="2" max="2" width="22" hidden="0" customWidth="1"/>
    <x:col min="3" max="3" width="58" hidden="0" customWidth="1"/>
    <x:col min="4" max="4" width="38" hidden="0" customWidth="1"/>
    <x:col min="5" max="5" width="4" hidden="0" customWidth="1"/>
    <x:col min="6" max="6" width="16"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s>
  <x:sheetData>
    <x:row r="1" ht="30" customHeight="1">
      <x:c r="A1" s="182" t="str">
        <x:v>Historical comparison at mandate day 674</x:v>
      </x:c>
      <x:c r="B1" s="182" t="str">
        <x:v>Historical comparison at mandate day 674</x:v>
      </x:c>
      <x:c r="C1" s="182" t="str">
        <x:v>Historical comparison at mandate day 674</x:v>
      </x:c>
      <x:c r="D1" s="182" t="str">
        <x:v>Historical comparison at mandate day 674</x:v>
      </x:c>
      <x:c r="E1" s="182" t="str">
        <x:v>Historical comparison at mandate day 674</x:v>
      </x:c>
      <x:c r="F1" s="182" t="str">
        <x:v>Historical comparison at mandate day 674</x:v>
      </x:c>
      <x:c r="G1" s="182" t="str">
        <x:v>Historical comparison at mandate day 674</x:v>
      </x:c>
      <x:c r="H1" s="182" t="str">
        <x:v>Historical comparison at mandate day 674</x:v>
      </x:c>
      <x:c r="I1" s="182" t="str">
        <x:v>Historical comparison at mandate day 674</x:v>
      </x:c>
      <x:c r="J1" s="182" t="str">
        <x:v>Historical comparison at mandate day 674</x:v>
      </x:c>
      <x:c r="K1" s="184"/>
      <x:c r="L1" s="184"/>
      <x:c r="M1" s="184"/>
    </x:row>
    <x:row r="2" ht="26" customHeight="1">
      <x:c r="A2" s="183" t="str">
        <x:v>All named comparators led at the frozen point. Endpoint drift is descriptive; the intermediate trajectory cone is not estimable.</x:v>
      </x:c>
      <x:c r="B2" s="183" t="str">
        <x:v>All named comparators led at the frozen point. Endpoint drift is descriptive; the intermediate trajectory cone is not estimable.</x:v>
      </x:c>
      <x:c r="C2" s="183" t="str">
        <x:v>All named comparators led at the frozen point. Endpoint drift is descriptive; the intermediate trajectory cone is not estimable.</x:v>
      </x:c>
      <x:c r="D2" s="183" t="str">
        <x:v>All named comparators led at the frozen point. Endpoint drift is descriptive; the intermediate trajectory cone is not estimable.</x:v>
      </x:c>
      <x:c r="E2" s="183" t="str">
        <x:v>All named comparators led at the frozen point. Endpoint drift is descriptive; the intermediate trajectory cone is not estimable.</x:v>
      </x:c>
      <x:c r="F2" s="183" t="str">
        <x:v>All named comparators led at the frozen point. Endpoint drift is descriptive; the intermediate trajectory cone is not estimable.</x:v>
      </x:c>
      <x:c r="G2" s="183" t="str">
        <x:v>All named comparators led at the frozen point. Endpoint drift is descriptive; the intermediate trajectory cone is not estimable.</x:v>
      </x:c>
      <x:c r="H2" s="183" t="str">
        <x:v>All named comparators led at the frozen point. Endpoint drift is descriptive; the intermediate trajectory cone is not estimable.</x:v>
      </x:c>
      <x:c r="I2" s="183" t="str">
        <x:v>All named comparators led at the frozen point. Endpoint drift is descriptive; the intermediate trajectory cone is not estimable.</x:v>
      </x:c>
      <x:c r="J2" s="183" t="str">
        <x:v>All named comparators led at the frozen point. Endpoint drift is descriptive; the intermediate trajectory cone is not estimable.</x:v>
      </x:c>
      <x:c r="K2" s="184"/>
      <x:c r="L2" s="184"/>
      <x:c r="M2" s="184"/>
    </x:row>
    <x:row r="3">
      <x:c r="A3" s="184"/>
      <x:c r="B3" s="184"/>
      <x:c r="C3" s="184"/>
      <x:c r="D3" s="184"/>
      <x:c r="E3" s="184"/>
      <x:c r="F3" s="184"/>
      <x:c r="G3" s="184"/>
      <x:c r="H3" s="184"/>
      <x:c r="I3" s="184"/>
      <x:c r="J3" s="184"/>
      <x:c r="K3" s="184"/>
      <x:c r="L3" s="184"/>
      <x:c r="M3" s="184"/>
    </x:row>
    <x:row r="4" ht="30" customHeight="1">
      <x:c r="A4" s="206" t="str">
        <x:v>Premier</x:v>
      </x:c>
      <x:c r="B4" s="207" t="str">
        <x:v>Status</x:v>
      </x:c>
      <x:c r="C4" s="207" t="str">
        <x:v>Day-674 margin</x:v>
      </x:c>
      <x:c r="D4" s="207" t="str">
        <x:v>Election margin</x:v>
      </x:c>
      <x:c r="E4" s="207" t="str">
        <x:v>Drift</x:v>
      </x:c>
      <x:c r="F4" s="207" t="str">
        <x:v>Days</x:v>
      </x:c>
      <x:c r="G4" s="207" t="str">
        <x:v>Outcome</x:v>
      </x:c>
      <x:c r="H4" s="207" t="str">
        <x:v>Model use</x:v>
      </x:c>
      <x:c r="I4" s="208" t="str">
        <x:v>Source</x:v>
      </x:c>
      <x:c r="J4" s="184"/>
      <x:c r="K4" s="184"/>
      <x:c r="L4" s="184"/>
      <x:c r="M4" s="184"/>
    </x:row>
    <x:row r="5">
      <x:c r="A5" s="81" t="str">
        <x:v>Shawn Graham</x:v>
      </x:c>
      <x:c r="B5" s="81" t="str">
        <x:v>Majority</x:v>
      </x:c>
      <x:c r="C5" s="81" t="n">
        <x:v>15</x:v>
      </x:c>
      <x:c r="D5" s="81" t="n">
        <x:v>-14.343</x:v>
      </x:c>
      <x:c r="E5" s="81" t="n">
        <x:v>-29.343</x:v>
      </x:c>
      <x:c r="F5" s="81" t="n">
        <x:v>796</x:v>
      </x:c>
      <x:c r="G5" s="81" t="str">
        <x:v>Lost government</x:v>
      </x:c>
      <x:c r="H5" s="81" t="str">
        <x:v>Scheduled-term endpoint analogue</x:v>
      </x:c>
      <x:c r="I5" s="81" t="str">
        <x:v>data/day_674.csv</x:v>
      </x:c>
      <x:c r="J5" s="184"/>
      <x:c r="K5" s="184"/>
      <x:c r="L5" s="184"/>
      <x:c r="M5" s="184"/>
    </x:row>
    <x:row r="6">
      <x:c r="A6" s="82" t="str">
        <x:v>David Alward</x:v>
      </x:c>
      <x:c r="B6" s="82" t="str">
        <x:v>Majority</x:v>
      </x:c>
      <x:c r="C6" s="82" t="n">
        <x:v>12</x:v>
      </x:c>
      <x:c r="D6" s="82" t="n">
        <x:v>-8.084</x:v>
      </x:c>
      <x:c r="E6" s="82" t="n">
        <x:v>-20.084</x:v>
      </x:c>
      <x:c r="F6" s="82" t="n">
        <x:v>782</x:v>
      </x:c>
      <x:c r="G6" s="82" t="str">
        <x:v>Lost government</x:v>
      </x:c>
      <x:c r="H6" s="82" t="str">
        <x:v>Scheduled-term endpoint analogue</x:v>
      </x:c>
      <x:c r="I6" s="82" t="str">
        <x:v>data/day_674.csv</x:v>
      </x:c>
      <x:c r="J6" s="184"/>
      <x:c r="K6" s="184"/>
      <x:c r="L6" s="184"/>
      <x:c r="M6" s="184"/>
    </x:row>
    <x:row r="7">
      <x:c r="A7" s="82" t="str">
        <x:v>Brian Gallant</x:v>
      </x:c>
      <x:c r="B7" s="82" t="str">
        <x:v>Majority</x:v>
      </x:c>
      <x:c r="C7" s="82" t="n">
        <x:v>22</x:v>
      </x:c>
      <x:c r="D7" s="82" t="n">
        <x:v>5.913</x:v>
      </x:c>
      <x:c r="E7" s="82" t="n">
        <x:v>-16.087</x:v>
      </x:c>
      <x:c r="F7" s="82" t="n">
        <x:v>789</x:v>
      </x:c>
      <x:c r="G7" s="82" t="str">
        <x:v>Lost government after seat plurality went PC</x:v>
      </x:c>
      <x:c r="H7" s="82" t="str">
        <x:v>Scheduled-term endpoint analogue</x:v>
      </x:c>
      <x:c r="I7" s="82" t="str">
        <x:v>data/day_674.csv</x:v>
      </x:c>
      <x:c r="J7" s="184"/>
      <x:c r="K7" s="184"/>
      <x:c r="L7" s="184"/>
      <x:c r="M7" s="184"/>
    </x:row>
    <x:row r="8">
      <x:c r="A8" s="82" t="str">
        <x:v>Blaine Higgs</x:v>
      </x:c>
      <x:c r="B8" s="82" t="str">
        <x:v>Minority</x:v>
      </x:c>
      <x:c r="C8" s="82" t="n">
        <x:v>13</x:v>
      </x:c>
      <x:c r="D8" s="82" t="n">
        <x:v>4.996</x:v>
      </x:c>
      <x:c r="E8" s="82" t="n">
        <x:v>-8.004</x:v>
      </x:c>
      <x:c r="F8" s="82" t="n">
        <x:v>47</x:v>
      </x:c>
      <x:c r="G8" s="82" t="str">
        <x:v>Re-elected majority</x:v>
      </x:c>
      <x:c r="H8" s="82" t="str">
        <x:v>Sensitivity only: short pandemic-era runway</x:v>
      </x:c>
      <x:c r="I8" s="82" t="str">
        <x:v>data/day_674.csv</x:v>
      </x:c>
      <x:c r="J8" s="184"/>
      <x:c r="K8" s="184"/>
      <x:c r="L8" s="184"/>
      <x:c r="M8" s="184"/>
    </x:row>
    <x:row r="9">
      <x:c r="A9" s="83" t="str">
        <x:v>Susan Holt</x:v>
      </x:c>
      <x:c r="B9" s="83" t="str">
        <x:v>Majority</x:v>
      </x:c>
      <x:c r="C9" s="83" t="n">
        <x:v>10.189</x:v>
      </x:c>
      <x:c r="D9" s="83"/>
      <x:c r="E9" s="83"/>
      <x:c r="F9" s="83" t="n">
        <x:v>782</x:v>
      </x:c>
      <x:c r="G9" s="83" t="str">
        <x:v>Unknown</x:v>
      </x:c>
      <x:c r="H9" s="83" t="str">
        <x:v>Current state, not outcome</x:v>
      </x:c>
      <x:c r="I9" s="83" t="str">
        <x:v>data/day_674.csv</x:v>
      </x:c>
      <x:c r="J9" s="184"/>
      <x:c r="K9" s="184"/>
      <x:c r="L9" s="184"/>
      <x:c r="M9" s="184"/>
    </x:row>
    <x:row r="10">
      <x:c r="A10" s="184"/>
      <x:c r="B10" s="184"/>
      <x:c r="C10" s="184"/>
      <x:c r="D10" s="184"/>
      <x:c r="E10" s="184"/>
      <x:c r="F10" s="184"/>
      <x:c r="G10" s="184"/>
      <x:c r="H10" s="184"/>
      <x:c r="I10" s="184"/>
      <x:c r="J10" s="184"/>
      <x:c r="K10" s="184"/>
      <x:c r="L10" s="184"/>
      <x:c r="M10" s="184"/>
    </x:row>
    <x:row r="11">
      <x:c r="A11" s="184"/>
      <x:c r="B11" s="184"/>
      <x:c r="C11" s="184"/>
      <x:c r="D11" s="184"/>
      <x:c r="E11" s="184"/>
      <x:c r="F11" s="184"/>
      <x:c r="G11" s="184"/>
      <x:c r="H11" s="184"/>
      <x:c r="I11" s="184"/>
      <x:c r="J11" s="184"/>
      <x:c r="K11" s="184"/>
      <x:c r="L11" s="184"/>
      <x:c r="M11" s="184"/>
    </x:row>
    <x:row r="12">
      <x:c r="A12" s="184"/>
      <x:c r="B12" s="184"/>
      <x:c r="C12" s="184"/>
      <x:c r="D12" s="184"/>
      <x:c r="E12" s="184"/>
      <x:c r="F12" s="184"/>
      <x:c r="G12" s="184"/>
      <x:c r="H12" s="184"/>
      <x:c r="I12" s="184"/>
      <x:c r="J12" s="184"/>
      <x:c r="K12" s="184"/>
      <x:c r="L12" s="184"/>
      <x:c r="M12" s="184"/>
    </x:row>
    <x:row r="13">
      <x:c r="A13" s="184"/>
      <x:c r="B13" s="184"/>
      <x:c r="C13" s="184"/>
      <x:c r="D13" s="184"/>
      <x:c r="E13" s="184"/>
      <x:c r="F13" s="184"/>
      <x:c r="G13" s="184"/>
      <x:c r="H13" s="184"/>
      <x:c r="I13" s="184"/>
      <x:c r="J13" s="184"/>
      <x:c r="K13" s="184"/>
      <x:c r="L13" s="184"/>
      <x:c r="M13" s="184"/>
    </x:row>
    <x:row r="14">
      <x:c r="A14" s="184"/>
      <x:c r="B14" s="184"/>
      <x:c r="C14" s="184"/>
      <x:c r="D14" s="184"/>
      <x:c r="E14" s="184"/>
      <x:c r="F14" s="184"/>
      <x:c r="G14" s="184"/>
      <x:c r="H14" s="184"/>
      <x:c r="I14" s="184"/>
      <x:c r="J14" s="184"/>
      <x:c r="K14" s="184"/>
      <x:c r="L14" s="184"/>
      <x:c r="M14" s="184"/>
    </x:row>
    <x:row r="15">
      <x:c r="A15" s="184"/>
      <x:c r="B15" s="184"/>
      <x:c r="C15" s="184"/>
      <x:c r="D15" s="184"/>
      <x:c r="E15" s="184"/>
      <x:c r="F15" s="184"/>
      <x:c r="G15" s="184"/>
      <x:c r="H15" s="184"/>
      <x:c r="I15" s="184"/>
      <x:c r="J15" s="184"/>
      <x:c r="K15" s="184"/>
      <x:c r="L15" s="184"/>
      <x:c r="M15" s="184"/>
    </x:row>
    <x:row r="16">
      <x:c r="A16" s="184"/>
      <x:c r="B16" s="184"/>
      <x:c r="C16" s="184"/>
      <x:c r="D16" s="184"/>
      <x:c r="E16" s="184"/>
      <x:c r="F16" s="184"/>
      <x:c r="G16" s="184"/>
      <x:c r="H16" s="184"/>
      <x:c r="I16" s="184"/>
      <x:c r="J16" s="184"/>
      <x:c r="K16" s="184"/>
      <x:c r="L16" s="184"/>
      <x:c r="M16" s="184"/>
    </x:row>
    <x:row r="17">
      <x:c r="A17" s="184"/>
      <x:c r="B17" s="184"/>
      <x:c r="C17" s="184"/>
      <x:c r="D17" s="184"/>
      <x:c r="E17" s="184"/>
      <x:c r="F17" s="184"/>
      <x:c r="G17" s="184"/>
      <x:c r="H17" s="184"/>
      <x:c r="I17" s="184"/>
      <x:c r="J17" s="184"/>
      <x:c r="K17" s="184"/>
      <x:c r="L17" s="184"/>
      <x:c r="M17" s="184"/>
    </x:row>
    <x:row r="18">
      <x:c r="A18" s="184"/>
      <x:c r="B18" s="184"/>
      <x:c r="C18" s="184"/>
      <x:c r="D18" s="184"/>
      <x:c r="E18" s="184"/>
      <x:c r="F18" s="184"/>
      <x:c r="G18" s="184"/>
      <x:c r="H18" s="184"/>
      <x:c r="I18" s="184"/>
      <x:c r="J18" s="184"/>
      <x:c r="K18" s="184"/>
      <x:c r="L18" s="184"/>
      <x:c r="M18" s="184"/>
    </x:row>
    <x:row r="19">
      <x:c r="A19" s="184"/>
      <x:c r="B19" s="184"/>
      <x:c r="C19" s="184"/>
      <x:c r="D19" s="184"/>
      <x:c r="E19" s="184"/>
      <x:c r="F19" s="184"/>
      <x:c r="G19" s="184"/>
      <x:c r="H19" s="184"/>
      <x:c r="I19" s="184"/>
      <x:c r="J19" s="184"/>
      <x:c r="K19" s="184"/>
      <x:c r="L19" s="184"/>
      <x:c r="M19" s="184"/>
    </x:row>
    <x:row r="20">
      <x:c r="A20" s="184"/>
      <x:c r="B20" s="184"/>
      <x:c r="C20" s="184"/>
      <x:c r="D20" s="184"/>
      <x:c r="E20" s="184"/>
      <x:c r="F20" s="184"/>
      <x:c r="G20" s="184"/>
      <x:c r="H20" s="184"/>
      <x:c r="I20" s="184"/>
      <x:c r="J20" s="184"/>
      <x:c r="K20" s="184"/>
      <x:c r="L20" s="184"/>
      <x:c r="M20" s="184"/>
    </x:row>
    <x:row r="21">
      <x:c r="A21" s="184"/>
      <x:c r="B21" s="184"/>
      <x:c r="C21" s="184"/>
      <x:c r="D21" s="184"/>
      <x:c r="E21" s="184"/>
      <x:c r="F21" s="184"/>
      <x:c r="G21" s="184"/>
      <x:c r="H21" s="184"/>
      <x:c r="I21" s="184"/>
      <x:c r="J21" s="184"/>
      <x:c r="K21" s="184"/>
      <x:c r="L21" s="184"/>
      <x:c r="M21" s="184"/>
    </x:row>
    <x:row r="22">
      <x:c r="A22" s="184"/>
      <x:c r="B22" s="184"/>
      <x:c r="C22" s="184"/>
      <x:c r="D22" s="184"/>
      <x:c r="E22" s="184"/>
      <x:c r="F22" s="184"/>
      <x:c r="G22" s="184"/>
      <x:c r="H22" s="184"/>
      <x:c r="I22" s="184"/>
      <x:c r="J22" s="184"/>
      <x:c r="K22" s="184"/>
      <x:c r="L22" s="184"/>
      <x:c r="M22" s="184"/>
    </x:row>
    <x:row r="23">
      <x:c r="A23" s="184"/>
      <x:c r="B23" s="184"/>
      <x:c r="C23" s="184"/>
      <x:c r="D23" s="184"/>
      <x:c r="E23" s="184"/>
      <x:c r="F23" s="184"/>
      <x:c r="G23" s="184"/>
      <x:c r="H23" s="184"/>
      <x:c r="I23" s="184"/>
      <x:c r="J23" s="184"/>
      <x:c r="K23" s="184"/>
      <x:c r="L23" s="184"/>
      <x:c r="M23" s="184"/>
    </x:row>
    <x:row r="24">
      <x:c r="A24" s="184"/>
      <x:c r="B24" s="184"/>
      <x:c r="C24" s="184"/>
      <x:c r="D24" s="184"/>
      <x:c r="E24" s="184"/>
      <x:c r="F24" s="184"/>
      <x:c r="G24" s="184"/>
      <x:c r="H24" s="184"/>
      <x:c r="I24" s="184"/>
      <x:c r="J24" s="184"/>
      <x:c r="K24" s="184"/>
      <x:c r="L24" s="184"/>
      <x:c r="M24" s="184"/>
    </x:row>
    <x:row r="25">
      <x:c r="A25" s="184"/>
      <x:c r="B25" s="184"/>
      <x:c r="C25" s="184"/>
      <x:c r="D25" s="184"/>
      <x:c r="E25" s="184"/>
      <x:c r="F25" s="184"/>
      <x:c r="G25" s="184"/>
      <x:c r="H25" s="184"/>
      <x:c r="I25" s="184"/>
      <x:c r="J25" s="184"/>
      <x:c r="K25" s="184"/>
      <x:c r="L25" s="184"/>
      <x:c r="M25" s="184"/>
    </x:row>
    <x:row r="26">
      <x:c r="A26" s="184"/>
      <x:c r="B26" s="184"/>
      <x:c r="C26" s="184"/>
      <x:c r="D26" s="184"/>
      <x:c r="E26" s="184"/>
      <x:c r="F26" s="184"/>
      <x:c r="G26" s="184"/>
      <x:c r="H26" s="184"/>
      <x:c r="I26" s="184"/>
      <x:c r="J26" s="184"/>
      <x:c r="K26" s="184"/>
      <x:c r="L26" s="184"/>
      <x:c r="M26" s="184"/>
    </x:row>
    <x:row r="27">
      <x:c r="A27" s="184"/>
      <x:c r="B27" s="184"/>
      <x:c r="C27" s="184"/>
      <x:c r="D27" s="184"/>
      <x:c r="E27" s="184"/>
      <x:c r="F27" s="184"/>
      <x:c r="G27" s="184"/>
      <x:c r="H27" s="184"/>
      <x:c r="I27" s="184"/>
      <x:c r="J27" s="184"/>
      <x:c r="K27" s="184"/>
      <x:c r="L27" s="184"/>
      <x:c r="M27" s="184"/>
    </x:row>
    <x:row r="28">
      <x:c r="A28" s="184"/>
      <x:c r="B28" s="184"/>
      <x:c r="C28" s="184"/>
      <x:c r="D28" s="184"/>
      <x:c r="E28" s="184"/>
      <x:c r="F28" s="184"/>
      <x:c r="G28" s="184"/>
      <x:c r="H28" s="184"/>
      <x:c r="I28" s="184"/>
      <x:c r="J28" s="184"/>
      <x:c r="K28" s="184"/>
      <x:c r="L28" s="184"/>
      <x:c r="M28" s="184"/>
    </x:row>
    <x:row r="29">
      <x:c r="A29" s="184"/>
      <x:c r="B29" s="184"/>
      <x:c r="C29" s="184"/>
      <x:c r="D29" s="184"/>
      <x:c r="E29" s="184"/>
      <x:c r="F29" s="184"/>
      <x:c r="G29" s="184"/>
      <x:c r="H29" s="184"/>
      <x:c r="I29" s="184"/>
      <x:c r="J29" s="184"/>
      <x:c r="K29" s="184"/>
      <x:c r="L29" s="184"/>
      <x:c r="M29" s="184"/>
    </x:row>
    <x:row r="30">
      <x:c r="A30" s="184"/>
      <x:c r="B30" s="184"/>
      <x:c r="C30" s="184"/>
      <x:c r="D30" s="184"/>
      <x:c r="E30" s="184"/>
      <x:c r="F30" s="184"/>
      <x:c r="G30" s="184"/>
      <x:c r="H30" s="184"/>
      <x:c r="I30" s="184"/>
      <x:c r="J30" s="184"/>
      <x:c r="K30" s="184"/>
      <x:c r="L30" s="184"/>
      <x:c r="M30" s="184"/>
    </x:row>
    <x:row r="31">
      <x:c r="A31" s="185" t="str">
        <x:v>Future-trajectory model gate (separate from premier rows)</x:v>
      </x:c>
      <x:c r="B31" s="186"/>
      <x:c r="C31" s="186"/>
      <x:c r="D31" s="186"/>
      <x:c r="E31" s="186"/>
      <x:c r="F31" s="186"/>
      <x:c r="G31" s="186"/>
      <x:c r="H31" s="186"/>
      <x:c r="I31" s="186"/>
      <x:c r="J31" s="186"/>
      <x:c r="K31" s="186"/>
      <x:c r="L31" s="186"/>
      <x:c r="M31" s="187"/>
    </x:row>
    <x:row r="32" ht="30" customHeight="1">
      <x:c r="A32" s="206" t="str">
        <x:v>Horizon months</x:v>
      </x:c>
      <x:c r="B32" s="207" t="str">
        <x:v>Estimate</x:v>
      </x:c>
      <x:c r="C32" s="207" t="str">
        <x:v>Reason</x:v>
      </x:c>
      <x:c r="D32" s="208" t="str">
        <x:v>Permitted use</x:v>
      </x:c>
      <x:c r="E32" s="184"/>
      <x:c r="F32" s="209"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G32" s="210"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H32" s="210"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I32" s="210"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J32" s="210"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K32" s="210"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L32" s="210"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M32" s="211" t="str">
        <x:v>Scheduled-term endpoint drift in three central cases ranges from -29.3 to -16.1 points. With n=3 and missing model-grade intermediate paths, this is a cautionary range—not a probability interval. The horizon rows are model gates and do not correspond to individual premiers.</x:v>
      </x:c>
    </x:row>
    <x:row r="33">
      <x:c r="A33" s="78" t="n">
        <x:v>3</x:v>
      </x:c>
      <x:c r="B33" s="78" t="str">
        <x:v>NOT ESTIMABLE</x:v>
      </x:c>
      <x:c r="C33" s="78" t="str">
        <x:v>No complete A/B-grade comparable poll trajectories at this horizon</x:v>
      </x:c>
      <x:c r="D33" s="78" t="str">
        <x:v>Monitor future change only</x:v>
      </x:c>
      <x:c r="E33" s="184"/>
      <x:c r="F33" s="212"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G33" s="213"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H33" s="213"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I33" s="213"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J33" s="213"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K33" s="213"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L33" s="213"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M33" s="214" t="str">
        <x:v>Scheduled-term endpoint drift in three central cases ranges from -29.3 to -16.1 points. With n=3 and missing model-grade intermediate paths, this is a cautionary range—not a probability interval. The horizon rows are model gates and do not correspond to individual premiers.</x:v>
      </x:c>
    </x:row>
    <x:row r="34">
      <x:c r="A34" s="79" t="n">
        <x:v>6</x:v>
      </x:c>
      <x:c r="B34" s="79" t="str">
        <x:v>NOT ESTIMABLE</x:v>
      </x:c>
      <x:c r="C34" s="79" t="str">
        <x:v>No complete A/B-grade comparable poll trajectories at this horizon</x:v>
      </x:c>
      <x:c r="D34" s="79" t="str">
        <x:v>Monitor future change only</x:v>
      </x:c>
      <x:c r="E34" s="184"/>
      <x:c r="F34" s="212"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G34" s="213"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H34" s="213"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I34" s="213"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J34" s="213"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K34" s="213"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L34" s="213"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M34" s="214" t="str">
        <x:v>Scheduled-term endpoint drift in three central cases ranges from -29.3 to -16.1 points. With n=3 and missing model-grade intermediate paths, this is a cautionary range—not a probability interval. The horizon rows are model gates and do not correspond to individual premiers.</x:v>
      </x:c>
    </x:row>
    <x:row r="35">
      <x:c r="A35" s="79" t="n">
        <x:v>12</x:v>
      </x:c>
      <x:c r="B35" s="79" t="str">
        <x:v>NOT ESTIMABLE</x:v>
      </x:c>
      <x:c r="C35" s="79" t="str">
        <x:v>Historical index rows lack consistent fieldwork, sample and basis metadata</x:v>
      </x:c>
      <x:c r="D35" s="79" t="str">
        <x:v>Do not plot a probabilistic cone</x:v>
      </x:c>
      <x:c r="E35" s="184"/>
      <x:c r="F35" s="212"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G35" s="213"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H35" s="213"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I35" s="213"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J35" s="213"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K35" s="213"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L35" s="213"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M35" s="214" t="str">
        <x:v>Scheduled-term endpoint drift in three central cases ranges from -29.3 to -16.1 points. With n=3 and missing model-grade intermediate paths, this is a cautionary range—not a probability interval. The horizon rows are model gates and do not correspond to individual premiers.</x:v>
      </x:c>
    </x:row>
    <x:row r="36">
      <x:c r="A36" s="79" t="n">
        <x:v>18</x:v>
      </x:c>
      <x:c r="B36" s="79" t="str">
        <x:v>NOT ESTIMABLE</x:v>
      </x:c>
      <x:c r="C36" s="79" t="str">
        <x:v>Only three scheduled-term endpoints meet minimal comparison standard</x:v>
      </x:c>
      <x:c r="D36" s="79" t="str">
        <x:v>Report endpoint drift range descriptively</x:v>
      </x:c>
      <x:c r="E36" s="184"/>
      <x:c r="F36" s="212"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G36" s="213"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H36" s="213"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I36" s="213"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J36" s="213"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K36" s="213"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L36" s="213"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M36" s="214" t="str">
        <x:v>Scheduled-term endpoint drift in three central cases ranges from -29.3 to -16.1 points. With n=3 and missing model-grade intermediate paths, this is a cautionary range—not a probability interval. The horizon rows are model gates and do not correspond to individual premiers.</x:v>
      </x:c>
    </x:row>
    <x:row r="37">
      <x:c r="A37" s="80" t="n">
        <x:v>24</x:v>
      </x:c>
      <x:c r="B37" s="80" t="str">
        <x:v>NOT ESTIMABLE</x:v>
      </x:c>
      <x:c r="C37" s="80" t="str">
        <x:v>Sparse cases and non-comparable election timing</x:v>
      </x:c>
      <x:c r="D37" s="80" t="str">
        <x:v>Report endpoint drift range descriptively</x:v>
      </x:c>
      <x:c r="E37" s="184"/>
      <x:c r="F37" s="215"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G37" s="216"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H37" s="216"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I37" s="216"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J37" s="216"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K37" s="216"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L37" s="216" t="str">
        <x:v>Scheduled-term endpoint drift in three central cases ranges from -29.3 to -16.1 points. With n=3 and missing model-grade intermediate paths, this is a cautionary range—not a probability interval. The horizon rows are model gates and do not correspond to individual premiers.</x:v>
      </x:c>
      <x:c r="M37" s="217" t="str">
        <x:v>Scheduled-term endpoint drift in three central cases ranges from -29.3 to -16.1 points. With n=3 and missing model-grade intermediate paths, this is a cautionary range—not a probability interval. The horizon rows are model gates and do not correspond to individual premiers.</x:v>
      </x:c>
    </x:row>
  </x:sheetData>
  <x:mergeCells>
    <x:mergeCell ref="A1:J1"/>
    <x:mergeCell ref="A2:J2"/>
    <x:mergeCell ref="A31:M31"/>
    <x:mergeCell ref="F32:M37"/>
  </x:mergeCells>
  <x:conditionalFormatting sqref="B33:B37">
    <x:cfRule type="expression" dxfId="10" priority="1">
      <x:formula>OR(ISNUMBER(SEARCH("GREEN",B33)),ISNUMBER(SEARCH("SUPPORTED",B33)),ISNUMBER(SEARCH("COMPLETE",B33)))</x:formula>
    </x:cfRule>
    <x:cfRule type="expression" dxfId="11" priority="2">
      <x:formula>OR(ISNUMBER(SEARCH("RED",B33)),ISNUMBER(SEARCH("MISSED",B33)),ISNUMBER(SEARCH("NOT SUPPORTED",B33)))</x:formula>
    </x:cfRule>
  </x:conditionalFormatting>
  <x:pageMargins left="0.7" right="0.7" top="0.75" bottom="0.75" header="0.3" footer="0.3"/>
  <x:drawing xmlns:r="http://schemas.openxmlformats.org/officeDocument/2006/relationships" r:id="Raf2baa7529f34606"/>
</x:worksheet>
</file>

<file path=xl/worksheets/sheet13.xml><?xml version="1.0" encoding="utf-8"?>
<x:worksheet xmlns:x="http://schemas.openxmlformats.org/spreadsheetml/2006/main">
  <x:sheetViews>
    <x:sheetView showGridLines="0" workbookViewId="0"/>
  </x:sheetViews>
  <x:sheetFormatPr defaultRowHeight="15"/>
  <x:cols>
    <x:col min="1" max="1" width="40" hidden="0" customWidth="1"/>
    <x:col min="2" max="2" width="14" hidden="0" customWidth="1"/>
    <x:col min="3" max="3" width="14" hidden="0" customWidth="1"/>
    <x:col min="4" max="4" width="14" hidden="0" customWidth="1"/>
    <x:col min="5" max="5" width="17" hidden="0" customWidth="1"/>
    <x:col min="6" max="6" width="17" hidden="0" customWidth="1"/>
    <x:col min="7" max="7" width="17" hidden="0" customWidth="1"/>
    <x:col min="8" max="8" width="16" hidden="0" customWidth="1"/>
  </x:cols>
  <x:sheetData>
    <x:row r="1" ht="30" customHeight="1">
      <x:c r="A1" s="182" t="str">
        <x:v>Deterministic three-party riding benchmark</x:v>
      </x:c>
      <x:c r="B1" s="182" t="str">
        <x:v>Deterministic three-party riding benchmark</x:v>
      </x:c>
      <x:c r="C1" s="182" t="str">
        <x:v>Deterministic three-party riding benchmark</x:v>
      </x:c>
      <x:c r="D1" s="182" t="str">
        <x:v>Deterministic three-party riding benchmark</x:v>
      </x:c>
      <x:c r="E1" s="182" t="str">
        <x:v>Deterministic three-party riding benchmark</x:v>
      </x:c>
      <x:c r="F1" s="182" t="str">
        <x:v>Deterministic three-party riding benchmark</x:v>
      </x:c>
      <x:c r="G1" s="182" t="str">
        <x:v>Deterministic three-party riding benchmark</x:v>
      </x:c>
      <x:c r="H1" s="182" t="str">
        <x:v>Deterministic three-party riding benchmark</x:v>
      </x:c>
    </x:row>
    <x:row r="2" ht="26" customHeight="1">
      <x:c r="A2" s="183" t="str">
        <x:v>Certified 2024 riding votes are scaled to the current three-party recency benchmark. Candidate effects, regional residuals and probabilities are not modelled.</x:v>
      </x:c>
      <x:c r="B2" s="183" t="str">
        <x:v>Certified 2024 riding votes are scaled to the current three-party recency benchmark. Candidate effects, regional residuals and probabilities are not modelled.</x:v>
      </x:c>
      <x:c r="C2" s="183" t="str">
        <x:v>Certified 2024 riding votes are scaled to the current three-party recency benchmark. Candidate effects, regional residuals and probabilities are not modelled.</x:v>
      </x:c>
      <x:c r="D2" s="183" t="str">
        <x:v>Certified 2024 riding votes are scaled to the current three-party recency benchmark. Candidate effects, regional residuals and probabilities are not modelled.</x:v>
      </x:c>
      <x:c r="E2" s="183" t="str">
        <x:v>Certified 2024 riding votes are scaled to the current three-party recency benchmark. Candidate effects, regional residuals and probabilities are not modelled.</x:v>
      </x:c>
      <x:c r="F2" s="183" t="str">
        <x:v>Certified 2024 riding votes are scaled to the current three-party recency benchmark. Candidate effects, regional residuals and probabilities are not modelled.</x:v>
      </x:c>
      <x:c r="G2" s="183" t="str">
        <x:v>Certified 2024 riding votes are scaled to the current three-party recency benchmark. Candidate effects, regional residuals and probabilities are not modelled.</x:v>
      </x:c>
      <x:c r="H2" s="183" t="str">
        <x:v>Certified 2024 riding votes are scaled to the current three-party recency benchmark. Candidate effects, regional residuals and probabilities are not modelled.</x:v>
      </x:c>
    </x:row>
    <x:row r="3">
      <x:c r="A3" s="184"/>
      <x:c r="B3" s="184"/>
      <x:c r="C3" s="184"/>
      <x:c r="D3" s="184"/>
      <x:c r="E3" s="184"/>
      <x:c r="F3" s="184"/>
      <x:c r="G3" s="184"/>
      <x:c r="H3" s="184"/>
    </x:row>
    <x:row r="4" ht="30" customHeight="1">
      <x:c r="A4" s="206" t="str">
        <x:v>Riding</x:v>
      </x:c>
      <x:c r="B4" s="207" t="str">
        <x:v>Liberal 2024</x:v>
      </x:c>
      <x:c r="C4" s="207" t="str">
        <x:v>PC 2024</x:v>
      </x:c>
      <x:c r="D4" s="207" t="str">
        <x:v>Green 2024</x:v>
      </x:c>
      <x:c r="E4" s="207" t="str">
        <x:v>Projected Liberal</x:v>
      </x:c>
      <x:c r="F4" s="207" t="str">
        <x:v>Projected PC</x:v>
      </x:c>
      <x:c r="G4" s="207" t="str">
        <x:v>Projected Green</x:v>
      </x:c>
      <x:c r="H4" s="208" t="str">
        <x:v>Winner</x:v>
      </x:c>
    </x:row>
    <x:row r="5">
      <x:c r="A5" s="78" t="str">
        <x:v>Albert-Riverview</x:v>
      </x:c>
      <x:c r="B5" s="110" t="n">
        <x:v>2599</x:v>
      </x:c>
      <x:c r="C5" s="110" t="n">
        <x:v>4363</x:v>
      </x:c>
      <x:c r="D5" s="110" t="n">
        <x:v>972</x:v>
      </x:c>
      <x:c r="E5" s="110" t="n">
        <x:f>B5*$B$59</x:f>
        <x:v>2518.8335728531943</x:v>
      </x:c>
      <x:c r="F5" s="110" t="n">
        <x:f>C5*$C$59</x:f>
        <x:v>4446.8304262333295</x:v>
      </x:c>
      <x:c r="G5" s="110" t="n">
        <x:f>D5*$D$59</x:f>
        <x:v>1029.5676822838966</x:v>
      </x:c>
      <x:c r="H5" s="78" t="str">
        <x:f>IF(MAX(E5:G5)=E5,"Liberal",IF(MAX(E5:G5)=F5,"PC","Green"))</x:f>
        <x:v>PC</x:v>
      </x:c>
    </x:row>
    <x:row r="6">
      <x:c r="A6" s="79" t="str">
        <x:v>Arcadia-Butternut Valley-Maple Hills</x:v>
      </x:c>
      <x:c r="B6" s="112" t="n">
        <x:v>2289</x:v>
      </x:c>
      <x:c r="C6" s="112" t="n">
        <x:v>4284</x:v>
      </x:c>
      <x:c r="D6" s="112" t="n">
        <x:v>1093</x:v>
      </x:c>
      <x:c r="E6" s="112" t="n">
        <x:f>B6*$B$59</x:f>
        <x:v>2218.395555313952</x:v>
      </x:c>
      <x:c r="F6" s="112" t="n">
        <x:f>C6*$C$59</x:f>
        <x:v>4366.312524864447</x:v>
      </x:c>
      <x:c r="G6" s="112" t="n">
        <x:f>D6*$D$59</x:f>
        <x:v>1157.7340295640936</x:v>
      </x:c>
      <x:c r="H6" s="79" t="str">
        <x:f>IF(MAX(E6:G6)=E6,"Liberal",IF(MAX(E6:G6)=F6,"PC","Green"))</x:f>
        <x:v>PC</x:v>
      </x:c>
    </x:row>
    <x:row r="7">
      <x:c r="A7" s="79" t="str">
        <x:v>Bathurst</x:v>
      </x:c>
      <x:c r="B7" s="112" t="n">
        <x:v>3357</x:v>
      </x:c>
      <x:c r="C7" s="112" t="n">
        <x:v>2029</x:v>
      </x:c>
      <x:c r="D7" s="112" t="n">
        <x:v>325</x:v>
      </x:c>
      <x:c r="E7" s="112" t="n">
        <x:f>B7*$B$59</x:f>
        <x:v>3253.452983481405</x:v>
      </x:c>
      <x:c r="F7" s="112" t="n">
        <x:f>C7*$C$59</x:f>
        <x:v>2067.985087056481</x:v>
      </x:c>
      <x:c r="G7" s="112" t="n">
        <x:f>D7*$D$59</x:f>
        <x:v>344.24845343854565</x:v>
      </x:c>
      <x:c r="H7" s="79" t="str">
        <x:f>IF(MAX(E7:G7)=E7,"Liberal",IF(MAX(E7:G7)=F7,"PC","Green"))</x:f>
        <x:v>Liberal</x:v>
      </x:c>
    </x:row>
    <x:row r="8">
      <x:c r="A8" s="79" t="str">
        <x:v>Beausoleil-Grand-Bouctouche-Kent</x:v>
      </x:c>
      <x:c r="B8" s="112" t="n">
        <x:v>5794</x:v>
      </x:c>
      <x:c r="C8" s="112" t="n">
        <x:v>1761</x:v>
      </x:c>
      <x:c r="D8" s="112" t="n">
        <x:v>1220</x:v>
      </x:c>
      <x:c r="E8" s="112" t="n">
        <x:f>B8*$B$59</x:f>
        <x:v>5615.283463297963</x:v>
      </x:c>
      <x:c r="F8" s="112" t="n">
        <x:f>C8*$C$59</x:f>
        <x:v>1794.8357507671083</x:v>
      </x:c>
      <x:c r="G8" s="112" t="n">
        <x:f>D8*$D$59</x:f>
        <x:v>1292.2557329077715</x:v>
      </x:c>
      <x:c r="H8" s="79" t="str">
        <x:f>IF(MAX(E8:G8)=E8,"Liberal",IF(MAX(E8:G8)=F8,"PC","Green"))</x:f>
        <x:v>Liberal</x:v>
      </x:c>
    </x:row>
    <x:row r="9">
      <x:c r="A9" s="79" t="str">
        <x:v>Belle-Baie-Belledune</x:v>
      </x:c>
      <x:c r="B9" s="112" t="n">
        <x:v>5053</x:v>
      </x:c>
      <x:c r="C9" s="112" t="n">
        <x:v>1254</x:v>
      </x:c>
      <x:c r="D9" s="112" t="n">
        <x:v>1411</x:v>
      </x:c>
      <x:c r="E9" s="112" t="n">
        <x:f>B9*$B$59</x:f>
        <x:v>4897.139685889646</x:v>
      </x:c>
      <x:c r="F9" s="112" t="n">
        <x:f>C9*$C$59</x:f>
        <x:v>1278.0942824883327</x:v>
      </x:c>
      <x:c r="G9" s="112" t="n">
        <x:f>D9*$D$59</x:f>
        <x:v>1494.5679009285784</x:v>
      </x:c>
      <x:c r="H9" s="79" t="str">
        <x:f>IF(MAX(E9:G9)=E9,"Liberal",IF(MAX(E9:G9)=F9,"PC","Green"))</x:f>
        <x:v>Liberal</x:v>
      </x:c>
    </x:row>
    <x:row r="10">
      <x:c r="A10" s="79" t="str">
        <x:v>Caraquet</x:v>
      </x:c>
      <x:c r="B10" s="112" t="n">
        <x:v>6002</x:v>
      </x:c>
      <x:c r="C10" s="112" t="n">
        <x:v>719</x:v>
      </x:c>
      <x:c r="D10" s="112" t="n">
        <x:v>0</x:v>
      </x:c>
      <x:c r="E10" s="112" t="n">
        <x:f>B10*$B$59</x:f>
        <x:v>5816.867681517841</x:v>
      </x:c>
      <x:c r="F10" s="112" t="n">
        <x:f>C10*$C$59</x:f>
        <x:v>732.8148238509658</x:v>
      </x:c>
      <x:c r="G10" s="112" t="n">
        <x:f>D10*$D$59</x:f>
        <x:v>0</x:v>
      </x:c>
      <x:c r="H10" s="79" t="str">
        <x:f>IF(MAX(E10:G10)=E10,"Liberal",IF(MAX(E10:G10)=F10,"PC","Green"))</x:f>
        <x:v>Liberal</x:v>
      </x:c>
    </x:row>
    <x:row r="11">
      <x:c r="A11" s="79" t="str">
        <x:v>Carleton-Victoria</x:v>
      </x:c>
      <x:c r="B11" s="112" t="n">
        <x:v>2159</x:v>
      </x:c>
      <x:c r="C11" s="112" t="n">
        <x:v>4798</x:v>
      </x:c>
      <x:c r="D11" s="112" t="n">
        <x:v>451</x:v>
      </x:c>
      <x:c r="E11" s="112" t="n">
        <x:f>B11*$B$59</x:f>
        <x:v>2092.405418926528</x:v>
      </x:c>
      <x:c r="F11" s="112" t="n">
        <x:f>C11*$C$59</x:f>
        <x:v>4890.188490732871</x:v>
      </x:c>
      <x:c r="G11" s="112" t="n">
        <x:f>D11*$D$59</x:f>
        <x:v>477.7109307716434</x:v>
      </x:c>
      <x:c r="H11" s="79" t="str">
        <x:f>IF(MAX(E11:G11)=E11,"Liberal",IF(MAX(E11:G11)=F11,"PC","Green"))</x:f>
        <x:v>PC</x:v>
      </x:c>
    </x:row>
    <x:row r="12">
      <x:c r="A12" s="79" t="str">
        <x:v>Carleton-York</x:v>
      </x:c>
      <x:c r="B12" s="112" t="n">
        <x:v>2136</x:v>
      </x:c>
      <x:c r="C12" s="112" t="n">
        <x:v>4622</x:v>
      </x:c>
      <x:c r="D12" s="112" t="n">
        <x:v>675</x:v>
      </x:c>
      <x:c r="E12" s="112" t="n">
        <x:f>B12*$B$59</x:f>
        <x:v>2070.1148563349066</x:v>
      </x:c>
      <x:c r="F12" s="112" t="n">
        <x:f>C12*$C$59</x:f>
        <x:v>4710.806837050298</x:v>
      </x:c>
      <x:c r="G12" s="112" t="n">
        <x:f>D12*$D$59</x:f>
        <x:v>714.9775571415948</x:v>
      </x:c>
      <x:c r="H12" s="79" t="str">
        <x:f>IF(MAX(E12:G12)=E12,"Liberal",IF(MAX(E12:G12)=F12,"PC","Green"))</x:f>
        <x:v>PC</x:v>
      </x:c>
    </x:row>
    <x:row r="13">
      <x:c r="A13" s="79" t="str">
        <x:v>Champdoré-Irishtown</x:v>
      </x:c>
      <x:c r="B13" s="112" t="n">
        <x:v>3732</x:v>
      </x:c>
      <x:c r="C13" s="112" t="n">
        <x:v>2450</x:v>
      </x:c>
      <x:c r="D13" s="112" t="n">
        <x:v>743</x:v>
      </x:c>
      <x:c r="E13" s="112" t="n">
        <x:f>B13*$B$59</x:f>
        <x:v>3616.8860692143594</x:v>
      </x:c>
      <x:c r="F13" s="112" t="n">
        <x:f>C13*$C$59</x:f>
        <x:v>2497.0741563767265</x:v>
      </x:c>
      <x:c r="G13" s="112" t="n">
        <x:f>D13*$D$59</x:f>
        <x:v>787.0049258610444</x:v>
      </x:c>
      <x:c r="H13" s="79" t="str">
        <x:f>IF(MAX(E13:G13)=E13,"Liberal",IF(MAX(E13:G13)=F13,"PC","Green"))</x:f>
        <x:v>Liberal</x:v>
      </x:c>
    </x:row>
    <x:row r="14">
      <x:c r="A14" s="79" t="str">
        <x:v>Dieppe-Memramcook</x:v>
      </x:c>
      <x:c r="B14" s="112" t="n">
        <x:v>5600</x:v>
      </x:c>
      <x:c r="C14" s="112" t="n">
        <x:v>1311</x:v>
      </x:c>
      <x:c r="D14" s="112" t="n">
        <x:v>1531</x:v>
      </x:c>
      <x:c r="E14" s="112" t="n">
        <x:f>B14*$B$59</x:f>
        <x:v>5427.267413612115</x:v>
      </x:c>
      <x:c r="F14" s="112" t="n">
        <x:f>C14*$C$59</x:f>
        <x:v>1336.1894771468933</x:v>
      </x:c>
      <x:c r="G14" s="112" t="n">
        <x:f>D14*$D$59</x:f>
        <x:v>1621.6750221981952</x:v>
      </x:c>
      <x:c r="H14" s="79" t="str">
        <x:f>IF(MAX(E14:G14)=E14,"Liberal",IF(MAX(E14:G14)=F14,"PC","Green"))</x:f>
        <x:v>Liberal</x:v>
      </x:c>
    </x:row>
    <x:row r="15">
      <x:c r="A15" s="79" t="str">
        <x:v>Edmundston-Vallée-des-Rivières</x:v>
      </x:c>
      <x:c r="B15" s="112" t="n">
        <x:v>5573</x:v>
      </x:c>
      <x:c r="C15" s="112" t="n">
        <x:v>1049</x:v>
      </x:c>
      <x:c r="D15" s="112" t="n">
        <x:v>0</x:v>
      </x:c>
      <x:c r="E15" s="112" t="n">
        <x:f>B15*$B$59</x:f>
        <x:v>5401.100231439343</x:v>
      </x:c>
      <x:c r="F15" s="112" t="n">
        <x:f>C15*$C$59</x:f>
        <x:v>1069.1554245057903</x:v>
      </x:c>
      <x:c r="G15" s="112" t="n">
        <x:f>D15*$D$59</x:f>
        <x:v>0</x:v>
      </x:c>
      <x:c r="H15" s="79" t="str">
        <x:f>IF(MAX(E15:G15)=E15,"Liberal",IF(MAX(E15:G15)=F15,"PC","Green"))</x:f>
        <x:v>Liberal</x:v>
      </x:c>
    </x:row>
    <x:row r="16">
      <x:c r="A16" s="79" t="str">
        <x:v>Fredericton-Lincoln</x:v>
      </x:c>
      <x:c r="B16" s="112" t="n">
        <x:v>2244</x:v>
      </x:c>
      <x:c r="C16" s="112" t="n">
        <x:v>2307</x:v>
      </x:c>
      <x:c r="D16" s="112" t="n">
        <x:v>3646</x:v>
      </x:c>
      <x:c r="E16" s="112" t="n">
        <x:f>B16*$B$59</x:f>
        <x:v>2174.7835850259976</x:v>
      </x:c>
      <x:c r="F16" s="112" t="n">
        <x:f>C16*$C$59</x:f>
        <x:v>2351.326562759636</x:v>
      </x:c>
      <x:c r="G16" s="112" t="n">
        <x:f>D16*$D$59</x:f>
        <x:v>3861.9380345751924</x:v>
      </x:c>
      <x:c r="H16" s="79" t="str">
        <x:f>IF(MAX(E16:G16)=E16,"Liberal",IF(MAX(E16:G16)=F16,"PC","Green"))</x:f>
        <x:v>Green</x:v>
      </x:c>
    </x:row>
    <x:row r="17">
      <x:c r="A17" s="79" t="str">
        <x:v>Fredericton North</x:v>
      </x:c>
      <x:c r="B17" s="112" t="n">
        <x:v>4130</x:v>
      </x:c>
      <x:c r="C17" s="112" t="n">
        <x:v>2753</x:v>
      </x:c>
      <x:c r="D17" s="112" t="n">
        <x:v>922</x:v>
      </x:c>
      <x:c r="E17" s="112" t="n">
        <x:f>B17*$B$59</x:f>
        <x:v>4002.609717538935</x:v>
      </x:c>
      <x:c r="F17" s="112" t="n">
        <x:f>C17*$C$59</x:f>
        <x:v>2805.895980614338</x:v>
      </x:c>
      <x:c r="G17" s="112" t="n">
        <x:f>D17*$D$59</x:f>
        <x:v>976.6063817548895</x:v>
      </x:c>
      <x:c r="H17" s="79" t="str">
        <x:f>IF(MAX(E17:G17)=E17,"Liberal",IF(MAX(E17:G17)=F17,"PC","Green"))</x:f>
        <x:v>Liberal</x:v>
      </x:c>
    </x:row>
    <x:row r="18">
      <x:c r="A18" s="79" t="str">
        <x:v>Fredericton South-Silverwood</x:v>
      </x:c>
      <x:c r="B18" s="112" t="n">
        <x:v>4605</x:v>
      </x:c>
      <x:c r="C18" s="112" t="n">
        <x:v>2287</x:v>
      </x:c>
      <x:c r="D18" s="112" t="n">
        <x:v>1860</x:v>
      </x:c>
      <x:c r="E18" s="112" t="n">
        <x:f>B18*$B$59</x:f>
        <x:v>4462.958292800677</x:v>
      </x:c>
      <x:c r="F18" s="112" t="n">
        <x:f>C18*$C$59</x:f>
        <x:v>2330.942283932071</x:v>
      </x:c>
      <x:c r="G18" s="112" t="n">
        <x:f>D18*$D$59</x:f>
        <x:v>1970.1603796790614</x:v>
      </x:c>
      <x:c r="H18" s="79" t="str">
        <x:f>IF(MAX(E18:G18)=E18,"Liberal",IF(MAX(E18:G18)=F18,"PC","Green"))</x:f>
        <x:v>Liberal</x:v>
      </x:c>
    </x:row>
    <x:row r="19">
      <x:c r="A19" s="79" t="str">
        <x:v>Fredericton-Grand Lake</x:v>
      </x:c>
      <x:c r="B19" s="112" t="n">
        <x:v>2277</x:v>
      </x:c>
      <x:c r="C19" s="112" t="n">
        <x:v>4456</x:v>
      </x:c>
      <x:c r="D19" s="112" t="n">
        <x:v>862</x:v>
      </x:c>
      <x:c r="E19" s="112" t="n">
        <x:f>B19*$B$59</x:f>
        <x:v>2206.7656965704973</x:v>
      </x:c>
      <x:c r="F19" s="112" t="n">
        <x:f>C19*$C$59</x:f>
        <x:v>4541.617322781507</x:v>
      </x:c>
      <x:c r="G19" s="112" t="n">
        <x:f>D19*$D$59</x:f>
        <x:v>913.0528211200811</x:v>
      </x:c>
      <x:c r="H19" s="79" t="str">
        <x:f>IF(MAX(E19:G19)=E19,"Liberal",IF(MAX(E19:G19)=F19,"PC","Green"))</x:f>
        <x:v>PC</x:v>
      </x:c>
    </x:row>
    <x:row r="20">
      <x:c r="A20" s="79" t="str">
        <x:v>Fredericton-York</x:v>
      </x:c>
      <x:c r="B20" s="112" t="n">
        <x:v>2527</x:v>
      </x:c>
      <x:c r="C20" s="112" t="n">
        <x:v>3572</x:v>
      </x:c>
      <x:c r="D20" s="112" t="n">
        <x:v>1673</x:v>
      </x:c>
      <x:c r="E20" s="112" t="n">
        <x:f>B20*$B$59</x:f>
        <x:v>2449.054420392467</x:v>
      </x:c>
      <x:c r="F20" s="112" t="n">
        <x:f>C20*$C$59</x:f>
        <x:v>3640.6321986031294</x:v>
      </x:c>
      <x:c r="G20" s="112" t="n">
        <x:f>D20*$D$59</x:f>
        <x:v>1772.0851157005752</x:v>
      </x:c>
      <x:c r="H20" s="79" t="str">
        <x:f>IF(MAX(E20:G20)=E20,"Liberal",IF(MAX(E20:G20)=F20,"PC","Green"))</x:f>
        <x:v>PC</x:v>
      </x:c>
    </x:row>
    <x:row r="21">
      <x:c r="A21" s="79" t="str">
        <x:v>Fundy-The Isles-Saint John Lorneville</x:v>
      </x:c>
      <x:c r="B21" s="112" t="n">
        <x:v>2052</x:v>
      </x:c>
      <x:c r="C21" s="112" t="n">
        <x:v>3971</x:v>
      </x:c>
      <x:c r="D21" s="112" t="n">
        <x:v>346</x:v>
      </x:c>
      <x:c r="E21" s="112" t="n">
        <x:f>B21*$B$59</x:f>
        <x:v>1988.705845130725</x:v>
      </x:c>
      <x:c r="F21" s="112" t="n">
        <x:f>C21*$C$59</x:f>
        <x:v>4047.2985612130533</x:v>
      </x:c>
      <x:c r="G21" s="112" t="n">
        <x:f>D21*$D$59</x:f>
        <x:v>366.4921996607286</x:v>
      </x:c>
      <x:c r="H21" s="79" t="str">
        <x:f>IF(MAX(E21:G21)=E21,"Liberal",IF(MAX(E21:G21)=F21,"PC","Green"))</x:f>
        <x:v>PC</x:v>
      </x:c>
    </x:row>
    <x:row r="22">
      <x:c r="A22" s="79" t="str">
        <x:v>Grand Falls-Vallée-des-Rivières-Saint-Quentin</x:v>
      </x:c>
      <x:c r="B22" s="112" t="n">
        <x:v>4976</x:v>
      </x:c>
      <x:c r="C22" s="112" t="n">
        <x:v>2493</x:v>
      </x:c>
      <x:c r="D22" s="112" t="n">
        <x:v>540</x:v>
      </x:c>
      <x:c r="E22" s="112" t="n">
        <x:f>B22*$B$59</x:f>
        <x:v>4822.5147589524795</x:v>
      </x:c>
      <x:c r="F22" s="112" t="n">
        <x:f>C22*$C$59</x:f>
        <x:v>2540.9003558559916</x:v>
      </x:c>
      <x:c r="G22" s="112" t="n">
        <x:f>D22*$D$59</x:f>
        <x:v>571.9820457132759</x:v>
      </x:c>
      <x:c r="H22" s="79" t="str">
        <x:f>IF(MAX(E22:G22)=E22,"Liberal",IF(MAX(E22:G22)=F22,"PC","Green"))</x:f>
        <x:v>Liberal</x:v>
      </x:c>
    </x:row>
    <x:row r="23">
      <x:c r="A23" s="79" t="str">
        <x:v>Hampton-Fundy-St. Martins</x:v>
      </x:c>
      <x:c r="B23" s="112" t="n">
        <x:v>3259</x:v>
      </x:c>
      <x:c r="C23" s="112" t="n">
        <x:v>3035</x:v>
      </x:c>
      <x:c r="D23" s="112" t="n">
        <x:v>1553</x:v>
      </x:c>
      <x:c r="E23" s="112" t="n">
        <x:f>B23*$B$59</x:f>
        <x:v>3158.4758037431934</x:v>
      </x:c>
      <x:c r="F23" s="112" t="n">
        <x:f>C23*$C$59</x:f>
        <x:v>3093.314312083006</x:v>
      </x:c>
      <x:c r="G23" s="112" t="n">
        <x:f>D23*$D$59</x:f>
        <x:v>1644.9779944309582</x:v>
      </x:c>
      <x:c r="H23" s="79" t="str">
        <x:f>IF(MAX(E23:G23)=E23,"Liberal",IF(MAX(E23:G23)=F23,"PC","Green"))</x:f>
        <x:v>Liberal</x:v>
      </x:c>
    </x:row>
    <x:row r="24">
      <x:c r="A24" s="79" t="str">
        <x:v>Hanwell-New Maryland</x:v>
      </x:c>
      <x:c r="B24" s="112" t="n">
        <x:v>4006</x:v>
      </x:c>
      <x:c r="C24" s="112" t="n">
        <x:v>3948</x:v>
      </x:c>
      <x:c r="D24" s="112" t="n">
        <x:v>1051</x:v>
      </x:c>
      <x:c r="E24" s="112" t="n">
        <x:f>B24*$B$59</x:f>
        <x:v>3882.434510523238</x:v>
      </x:c>
      <x:c r="F24" s="112" t="n">
        <x:f>C24*$C$59</x:f>
        <x:v>4023.8566405613537</x:v>
      </x:c>
      <x:c r="G24" s="112" t="n">
        <x:f>D24*$D$59</x:f>
        <x:v>1113.2465371197277</x:v>
      </x:c>
      <x:c r="H24" s="79" t="str">
        <x:f>IF(MAX(E24:G24)=E24,"Liberal",IF(MAX(E24:G24)=F24,"PC","Green"))</x:f>
        <x:v>PC</x:v>
      </x:c>
    </x:row>
    <x:row r="25">
      <x:c r="A25" s="79" t="str">
        <x:v>Hautes-Terres-Nepisiguit</x:v>
      </x:c>
      <x:c r="B25" s="112" t="n">
        <x:v>4675</x:v>
      </x:c>
      <x:c r="C25" s="112" t="n">
        <x:v>1454</x:v>
      </x:c>
      <x:c r="D25" s="112" t="n">
        <x:v>0</x:v>
      </x:c>
      <x:c r="E25" s="112" t="n">
        <x:f>B25*$B$59</x:f>
        <x:v>4530.799135470828</x:v>
      </x:c>
      <x:c r="F25" s="112" t="n">
        <x:f>C25*$C$59</x:f>
        <x:v>1481.937070763984</x:v>
      </x:c>
      <x:c r="G25" s="112" t="n">
        <x:f>D25*$D$59</x:f>
        <x:v>0</x:v>
      </x:c>
      <x:c r="H25" s="79" t="str">
        <x:f>IF(MAX(E25:G25)=E25,"Liberal",IF(MAX(E25:G25)=F25,"PC","Green"))</x:f>
        <x:v>Liberal</x:v>
      </x:c>
    </x:row>
    <x:row r="26">
      <x:c r="A26" s="79" t="str">
        <x:v>Kent North</x:v>
      </x:c>
      <x:c r="B26" s="112" t="n">
        <x:v>3928</x:v>
      </x:c>
      <x:c r="C26" s="112" t="n">
        <x:v>1441</x:v>
      </x:c>
      <x:c r="D26" s="112" t="n">
        <x:v>3251</x:v>
      </x:c>
      <x:c r="E26" s="112" t="n">
        <x:f>B26*$B$59</x:f>
        <x:v>3806.8404286907835</x:v>
      </x:c>
      <x:c r="F26" s="112" t="n">
        <x:f>C26*$C$59</x:f>
        <x:v>1468.6872895260665</x:v>
      </x:c>
      <x:c r="G26" s="112" t="n">
        <x:f>D26*$D$59</x:f>
        <x:v>3443.5437603960368</x:v>
      </x:c>
      <x:c r="H26" s="79" t="str">
        <x:f>IF(MAX(E26:G26)=E26,"Liberal",IF(MAX(E26:G26)=F26,"PC","Green"))</x:f>
        <x:v>Liberal</x:v>
      </x:c>
    </x:row>
    <x:row r="27">
      <x:c r="A27" s="79" t="str">
        <x:v>Kings Centre</x:v>
      </x:c>
      <x:c r="B27" s="112" t="n">
        <x:v>2557</x:v>
      </x:c>
      <x:c r="C27" s="112" t="n">
        <x:v>3821</x:v>
      </x:c>
      <x:c r="D27" s="112" t="n">
        <x:v>1136</x:v>
      </x:c>
      <x:c r="E27" s="112" t="n">
        <x:f>B27*$B$59</x:f>
        <x:v>2478.129067251103</x:v>
      </x:c>
      <x:c r="F27" s="112" t="n">
        <x:f>C27*$C$59</x:f>
        <x:v>3894.416470006315</x:v>
      </x:c>
      <x:c r="G27" s="112" t="n">
        <x:f>D27*$D$59</x:f>
        <x:v>1203.2807480190397</x:v>
      </x:c>
      <x:c r="H27" s="79" t="str">
        <x:f>IF(MAX(E27:G27)=E27,"Liberal",IF(MAX(E27:G27)=F27,"PC","Green"))</x:f>
        <x:v>PC</x:v>
      </x:c>
    </x:row>
    <x:row r="28">
      <x:c r="A28" s="79" t="str">
        <x:v>Madawaska Les Lacs-Edmundston</x:v>
      </x:c>
      <x:c r="B28" s="112" t="n">
        <x:v>4798</x:v>
      </x:c>
      <x:c r="C28" s="112" t="n">
        <x:v>1970</x:v>
      </x:c>
      <x:c r="D28" s="112" t="n">
        <x:v>218</x:v>
      </x:c>
      <x:c r="E28" s="112" t="n">
        <x:f>B28*$B$59</x:f>
        <x:v>4650.005187591237</x:v>
      </x:c>
      <x:c r="F28" s="112" t="n">
        <x:f>C28*$C$59</x:f>
        <x:v>2007.8514645151638</x:v>
      </x:c>
      <x:c r="G28" s="112" t="n">
        <x:f>D28*$D$59</x:f>
        <x:v>230.91127030647064</x:v>
      </x:c>
      <x:c r="H28" s="79" t="str">
        <x:f>IF(MAX(E28:G28)=E28,"Liberal",IF(MAX(E28:G28)=F28,"PC","Green"))</x:f>
        <x:v>Liberal</x:v>
      </x:c>
    </x:row>
    <x:row r="29">
      <x:c r="A29" s="79" t="str">
        <x:v>Miramichi Bay-Neguac</x:v>
      </x:c>
      <x:c r="B29" s="112" t="n">
        <x:v>4219</x:v>
      </x:c>
      <x:c r="C29" s="112" t="n">
        <x:v>3146</x:v>
      </x:c>
      <x:c r="D29" s="112" t="n">
        <x:v>711</x:v>
      </x:c>
      <x:c r="E29" s="112" t="n">
        <x:f>B29*$B$59</x:f>
        <x:v>4088.864503219556</x:v>
      </x:c>
      <x:c r="F29" s="112" t="n">
        <x:f>C29*$C$59</x:f>
        <x:v>3206.4470595759926</x:v>
      </x:c>
      <x:c r="G29" s="112" t="n">
        <x:f>D29*$D$59</x:f>
        <x:v>753.1096935224799</x:v>
      </x:c>
      <x:c r="H29" s="79" t="str">
        <x:f>IF(MAX(E29:G29)=E29,"Liberal",IF(MAX(E29:G29)=F29,"PC","Green"))</x:f>
        <x:v>Liberal</x:v>
      </x:c>
    </x:row>
    <x:row r="30">
      <x:c r="A30" s="79" t="str">
        <x:v>Miramichi East</x:v>
      </x:c>
      <x:c r="B30" s="112" t="n">
        <x:v>2921</x:v>
      </x:c>
      <x:c r="C30" s="112" t="n">
        <x:v>3633</x:v>
      </x:c>
      <x:c r="D30" s="112" t="n">
        <x:v>355</x:v>
      </x:c>
      <x:c r="E30" s="112" t="n">
        <x:f>B30*$B$59</x:f>
        <x:v>2830.9014491358907</x:v>
      </x:c>
      <x:c r="F30" s="112" t="n">
        <x:f>C30*$C$59</x:f>
        <x:v>3702.8042490272032</x:v>
      </x:c>
      <x:c r="G30" s="112" t="n">
        <x:f>D30*$D$59</x:f>
        <x:v>376.0252337559499</x:v>
      </x:c>
      <x:c r="H30" s="79" t="str">
        <x:f>IF(MAX(E30:G30)=E30,"Liberal",IF(MAX(E30:G30)=F30,"PC","Green"))</x:f>
        <x:v>PC</x:v>
      </x:c>
    </x:row>
    <x:row r="31">
      <x:c r="A31" s="79" t="str">
        <x:v>Miramichi West</x:v>
      </x:c>
      <x:c r="B31" s="112" t="n">
        <x:v>2254</x:v>
      </x:c>
      <x:c r="C31" s="112" t="n">
        <x:v>3814</x:v>
      </x:c>
      <x:c r="D31" s="112" t="n">
        <x:v>273</x:v>
      </x:c>
      <x:c r="E31" s="112" t="n">
        <x:f>B31*$B$59</x:f>
        <x:v>2184.4751339788763</x:v>
      </x:c>
      <x:c r="F31" s="112" t="n">
        <x:f>C31*$C$59</x:f>
        <x:v>3887.2819724166675</x:v>
      </x:c>
      <x:c r="G31" s="112" t="n">
        <x:f>D31*$D$59</x:f>
        <x:v>289.1687008883784</x:v>
      </x:c>
      <x:c r="H31" s="79" t="str">
        <x:f>IF(MAX(E31:G31)=E31,"Liberal",IF(MAX(E31:G31)=F31,"PC","Green"))</x:f>
        <x:v>PC</x:v>
      </x:c>
    </x:row>
    <x:row r="32">
      <x:c r="A32" s="79" t="str">
        <x:v>Moncton Centre</x:v>
      </x:c>
      <x:c r="B32" s="112" t="n">
        <x:v>3501</x:v>
      </x:c>
      <x:c r="C32" s="112" t="n">
        <x:v>1738</x:v>
      </x:c>
      <x:c r="D32" s="112" t="n">
        <x:v>711</x:v>
      </x:c>
      <x:c r="E32" s="112" t="n">
        <x:f>B32*$B$59</x:f>
        <x:v>3393.01128840286</x:v>
      </x:c>
      <x:c r="F32" s="112" t="n">
        <x:f>C32*$C$59</x:f>
        <x:v>1771.3938301154085</x:v>
      </x:c>
      <x:c r="G32" s="112" t="n">
        <x:f>D32*$D$59</x:f>
        <x:v>753.1096935224799</x:v>
      </x:c>
      <x:c r="H32" s="79" t="str">
        <x:f>IF(MAX(E32:G32)=E32,"Liberal",IF(MAX(E32:G32)=F32,"PC","Green"))</x:f>
        <x:v>Liberal</x:v>
      </x:c>
    </x:row>
    <x:row r="33">
      <x:c r="A33" s="79" t="str">
        <x:v>Moncton East</x:v>
      </x:c>
      <x:c r="B33" s="112" t="n">
        <x:v>4449</x:v>
      </x:c>
      <x:c r="C33" s="112" t="n">
        <x:v>1903</x:v>
      </x:c>
      <x:c r="D33" s="112" t="n">
        <x:v>736</x:v>
      </x:c>
      <x:c r="E33" s="112" t="n">
        <x:f>B33*$B$59</x:f>
        <x:v>4311.770129135768</x:v>
      </x:c>
      <x:c r="F33" s="112" t="n">
        <x:f>C33*$C$59</x:f>
        <x:v>1939.5641304428207</x:v>
      </x:c>
      <x:c r="G33" s="112" t="n">
        <x:f>D33*$D$59</x:f>
        <x:v>779.5903437869835</x:v>
      </x:c>
      <x:c r="H33" s="79" t="str">
        <x:f>IF(MAX(E33:G33)=E33,"Liberal",IF(MAX(E33:G33)=F33,"PC","Green"))</x:f>
        <x:v>Liberal</x:v>
      </x:c>
    </x:row>
    <x:row r="34">
      <x:c r="A34" s="79" t="str">
        <x:v>Moncton Northwest</x:v>
      </x:c>
      <x:c r="B34" s="112" t="n">
        <x:v>3761</x:v>
      </x:c>
      <x:c r="C34" s="112" t="n">
        <x:v>3536</x:v>
      </x:c>
      <x:c r="D34" s="112" t="n">
        <x:v>804</x:v>
      </x:c>
      <x:c r="E34" s="112" t="n">
        <x:f>B34*$B$59</x:f>
        <x:v>3644.991561177708</x:v>
      </x:c>
      <x:c r="F34" s="112" t="n">
        <x:f>C34*$C$59</x:f>
        <x:v>3603.9404967135124</x:v>
      </x:c>
      <x:c r="G34" s="112" t="n">
        <x:f>D34*$D$59</x:f>
        <x:v>851.617712506433</x:v>
      </x:c>
      <x:c r="H34" s="79" t="str">
        <x:f>IF(MAX(E34:G34)=E34,"Liberal",IF(MAX(E34:G34)=F34,"PC","Green"))</x:f>
        <x:v>Liberal</x:v>
      </x:c>
    </x:row>
    <x:row r="35">
      <x:c r="A35" s="79" t="str">
        <x:v>Moncton South</x:v>
      </x:c>
      <x:c r="B35" s="112" t="n">
        <x:v>3559</x:v>
      </x:c>
      <x:c r="C35" s="112" t="n">
        <x:v>2229</x:v>
      </x:c>
      <x:c r="D35" s="112" t="n">
        <x:v>900</x:v>
      </x:c>
      <x:c r="E35" s="112" t="n">
        <x:f>B35*$B$59</x:f>
        <x:v>3449.2222723295567</x:v>
      </x:c>
      <x:c r="F35" s="112" t="n">
        <x:f>C35*$C$59</x:f>
        <x:v>2271.827875332132</x:v>
      </x:c>
      <x:c r="G35" s="112" t="n">
        <x:f>D35*$D$59</x:f>
        <x:v>953.3034095221265</x:v>
      </x:c>
      <x:c r="H35" s="79" t="str">
        <x:f>IF(MAX(E35:G35)=E35,"Liberal",IF(MAX(E35:G35)=F35,"PC","Green"))</x:f>
        <x:v>Liberal</x:v>
      </x:c>
    </x:row>
    <x:row r="36">
      <x:c r="A36" s="79" t="str">
        <x:v>Oromocto-Sunbury</x:v>
      </x:c>
      <x:c r="B36" s="112" t="n">
        <x:v>2725</x:v>
      </x:c>
      <x:c r="C36" s="112" t="n">
        <x:v>4381</x:v>
      </x:c>
      <x:c r="D36" s="112" t="n">
        <x:v>868</x:v>
      </x:c>
      <x:c r="E36" s="112" t="n">
        <x:f>B36*$B$59</x:f>
        <x:v>2640.9470896594667</x:v>
      </x:c>
      <x:c r="F36" s="112" t="n">
        <x:f>C36*$C$59</x:f>
        <x:v>4465.176277178139</x:v>
      </x:c>
      <x:c r="G36" s="112" t="n">
        <x:f>D36*$D$59</x:f>
        <x:v>919.408177183562</x:v>
      </x:c>
      <x:c r="H36" s="79" t="str">
        <x:f>IF(MAX(E36:G36)=E36,"Liberal",IF(MAX(E36:G36)=F36,"PC","Green"))</x:f>
        <x:v>PC</x:v>
      </x:c>
    </x:row>
    <x:row r="37">
      <x:c r="A37" s="79" t="str">
        <x:v>Quispamsis</x:v>
      </x:c>
      <x:c r="B37" s="112" t="n">
        <x:v>3861</x:v>
      </x:c>
      <x:c r="C37" s="112" t="n">
        <x:v>3668</x:v>
      </x:c>
      <x:c r="D37" s="112" t="n">
        <x:v>378</x:v>
      </x:c>
      <x:c r="E37" s="112" t="n">
        <x:f>B37*$B$59</x:f>
        <x:v>3741.9070507064957</x:v>
      </x:c>
      <x:c r="F37" s="112" t="n">
        <x:f>C37*$C$59</x:f>
        <x:v>3738.476736975442</x:v>
      </x:c>
      <x:c r="G37" s="112" t="n">
        <x:f>D37*$D$59</x:f>
        <x:v>400.38743199929314</x:v>
      </x:c>
      <x:c r="H37" s="79" t="str">
        <x:f>IF(MAX(E37:G37)=E37,"Liberal",IF(MAX(E37:G37)=F37,"PC","Green"))</x:f>
        <x:v>Liberal</x:v>
      </x:c>
    </x:row>
    <x:row r="38">
      <x:c r="A38" s="79" t="str">
        <x:v>Restigouche East</x:v>
      </x:c>
      <x:c r="B38" s="112" t="n">
        <x:v>3590</x:v>
      </x:c>
      <x:c r="C38" s="112" t="n">
        <x:v>2271</x:v>
      </x:c>
      <x:c r="D38" s="112" t="n">
        <x:v>389</x:v>
      </x:c>
      <x:c r="E38" s="112" t="n">
        <x:f>B38*$B$59</x:f>
        <x:v>3479.266074083481</x:v>
      </x:c>
      <x:c r="F38" s="112" t="n">
        <x:f>C38*$C$59</x:f>
        <x:v>2314.6348608700187</x:v>
      </x:c>
      <x:c r="G38" s="112" t="n">
        <x:f>D38*$D$59</x:f>
        <x:v>412.0389181156747</x:v>
      </x:c>
      <x:c r="H38" s="79" t="str">
        <x:f>IF(MAX(E38:G38)=E38,"Liberal",IF(MAX(E38:G38)=F38,"PC","Green"))</x:f>
        <x:v>Liberal</x:v>
      </x:c>
    </x:row>
    <x:row r="39">
      <x:c r="A39" s="79" t="str">
        <x:v>Restigouche West</x:v>
      </x:c>
      <x:c r="B39" s="112" t="n">
        <x:v>3993</x:v>
      </x:c>
      <x:c r="C39" s="112" t="n">
        <x:v>1733</x:v>
      </x:c>
      <x:c r="D39" s="112" t="n">
        <x:v>380</x:v>
      </x:c>
      <x:c r="E39" s="112" t="n">
        <x:f>B39*$B$59</x:f>
        <x:v>3869.8354968844956</x:v>
      </x:c>
      <x:c r="F39" s="112" t="n">
        <x:f>C39*$C$59</x:f>
        <x:v>1766.2977604085172</x:v>
      </x:c>
      <x:c r="G39" s="112" t="n">
        <x:f>D39*$D$59</x:f>
        <x:v>402.5058840204534</x:v>
      </x:c>
      <x:c r="H39" s="79" t="str">
        <x:f>IF(MAX(E39:G39)=E39,"Liberal",IF(MAX(E39:G39)=F39,"PC","Green"))</x:f>
        <x:v>Liberal</x:v>
      </x:c>
    </x:row>
    <x:row r="40">
      <x:c r="A40" s="79" t="str">
        <x:v>Riverview</x:v>
      </x:c>
      <x:c r="B40" s="112" t="n">
        <x:v>2740</x:v>
      </x:c>
      <x:c r="C40" s="112" t="n">
        <x:v>3114</x:v>
      </x:c>
      <x:c r="D40" s="112" t="n">
        <x:v>1978</x:v>
      </x:c>
      <x:c r="E40" s="112" t="n">
        <x:f>B40*$B$59</x:f>
        <x:v>2655.484413088785</x:v>
      </x:c>
      <x:c r="F40" s="112" t="n">
        <x:f>C40*$C$59</x:f>
        <x:v>3173.8322134518885</x:v>
      </x:c>
      <x:c r="G40" s="112" t="n">
        <x:f>D40*$D$59</x:f>
        <x:v>2095.149048927518</x:v>
      </x:c>
      <x:c r="H40" s="79" t="str">
        <x:f>IF(MAX(E40:G40)=E40,"Liberal",IF(MAX(E40:G40)=F40,"PC","Green"))</x:f>
        <x:v>PC</x:v>
      </x:c>
    </x:row>
    <x:row r="41">
      <x:c r="A41" s="79" t="str">
        <x:v>Rothesay</x:v>
      </x:c>
      <x:c r="B41" s="112" t="n">
        <x:v>4085</x:v>
      </x:c>
      <x:c r="C41" s="112" t="n">
        <x:v>3373</x:v>
      </x:c>
      <x:c r="D41" s="112" t="n">
        <x:v>549</x:v>
      </x:c>
      <x:c r="E41" s="112" t="n">
        <x:f>B41*$B$59</x:f>
        <x:v>3958.9977472509804</x:v>
      </x:c>
      <x:c r="F41" s="112" t="n">
        <x:f>C41*$C$59</x:f>
        <x:v>3437.8086242688564</x:v>
      </x:c>
      <x:c r="G41" s="112" t="n">
        <x:f>D41*$D$59</x:f>
        <x:v>581.5150798084971</x:v>
      </x:c>
      <x:c r="H41" s="79" t="str">
        <x:f>IF(MAX(E41:G41)=E41,"Liberal",IF(MAX(E41:G41)=F41,"PC","Green"))</x:f>
        <x:v>Liberal</x:v>
      </x:c>
    </x:row>
    <x:row r="42">
      <x:c r="A42" s="79" t="str">
        <x:v>Saint Croix</x:v>
      </x:c>
      <x:c r="B42" s="112" t="n">
        <x:v>2063</x:v>
      </x:c>
      <x:c r="C42" s="112" t="n">
        <x:v>3271</x:v>
      </x:c>
      <x:c r="D42" s="112" t="n">
        <x:v>1442</x:v>
      </x:c>
      <x:c r="E42" s="112" t="n">
        <x:f>B42*$B$59</x:f>
        <x:v>1999.3665489788916</x:v>
      </x:c>
      <x:c r="F42" s="112" t="n">
        <x:f>C42*$C$59</x:f>
        <x:v>3333.8488022482743</x:v>
      </x:c>
      <x:c r="G42" s="112" t="n">
        <x:f>D42*$D$59</x:f>
        <x:v>1527.4039072565627</x:v>
      </x:c>
      <x:c r="H42" s="79" t="str">
        <x:f>IF(MAX(E42:G42)=E42,"Liberal",IF(MAX(E42:G42)=F42,"PC","Green"))</x:f>
        <x:v>PC</x:v>
      </x:c>
    </x:row>
    <x:row r="43">
      <x:c r="A43" s="79" t="str">
        <x:v>Saint John East</x:v>
      </x:c>
      <x:c r="B43" s="112" t="n">
        <x:v>3147</x:v>
      </x:c>
      <x:c r="C43" s="112" t="n">
        <x:v>3181</x:v>
      </x:c>
      <x:c r="D43" s="112" t="n">
        <x:v>514</x:v>
      </x:c>
      <x:c r="E43" s="112" t="n">
        <x:f>B43*$B$59</x:f>
        <x:v>3049.930455470951</x:v>
      </x:c>
      <x:c r="F43" s="112" t="n">
        <x:f>C43*$C$59</x:f>
        <x:v>3242.1195475242316</x:v>
      </x:c>
      <x:c r="G43" s="112" t="n">
        <x:f>D43*$D$59</x:f>
        <x:v>544.4421694381922</x:v>
      </x:c>
      <x:c r="H43" s="79" t="str">
        <x:f>IF(MAX(E43:G43)=E43,"Liberal",IF(MAX(E43:G43)=F43,"PC","Green"))</x:f>
        <x:v>PC</x:v>
      </x:c>
    </x:row>
    <x:row r="44">
      <x:c r="A44" s="79" t="str">
        <x:v>Saint John Harbour</x:v>
      </x:c>
      <x:c r="B44" s="112" t="n">
        <x:v>3413</x:v>
      </x:c>
      <x:c r="C44" s="112" t="n">
        <x:v>1563</x:v>
      </x:c>
      <x:c r="D44" s="112" t="n">
        <x:v>715</x:v>
      </x:c>
      <x:c r="E44" s="112" t="n">
        <x:f>B44*$B$59</x:f>
        <x:v>3307.7256576175264</x:v>
      </x:c>
      <x:c r="F44" s="112" t="n">
        <x:f>C44*$C$59</x:f>
        <x:v>1593.0313903742137</x:v>
      </x:c>
      <x:c r="G44" s="112" t="n">
        <x:f>D44*$D$59</x:f>
        <x:v>757.3465975648005</x:v>
      </x:c>
      <x:c r="H44" s="79" t="str">
        <x:f>IF(MAX(E44:G44)=E44,"Liberal",IF(MAX(E44:G44)=F44,"PC","Green"))</x:f>
        <x:v>Liberal</x:v>
      </x:c>
    </x:row>
    <x:row r="45">
      <x:c r="A45" s="79" t="str">
        <x:v>Saint John Portland-Simonds</x:v>
      </x:c>
      <x:c r="B45" s="112" t="n">
        <x:v>3546</x:v>
      </x:c>
      <x:c r="C45" s="112" t="n">
        <x:v>2497</x:v>
      </x:c>
      <x:c r="D45" s="112" t="n">
        <x:v>438</x:v>
      </x:c>
      <x:c r="E45" s="112" t="n">
        <x:f>B45*$B$59</x:f>
        <x:v>3436.623258690814</x:v>
      </x:c>
      <x:c r="F45" s="112" t="n">
        <x:f>C45*$C$59</x:f>
        <x:v>2544.9772116215045</x:v>
      </x:c>
      <x:c r="G45" s="112" t="n">
        <x:f>D45*$D$59</x:f>
        <x:v>463.9409926341016</x:v>
      </x:c>
      <x:c r="H45" s="79" t="str">
        <x:f>IF(MAX(E45:G45)=E45,"Liberal",IF(MAX(E45:G45)=F45,"PC","Green"))</x:f>
        <x:v>Liberal</x:v>
      </x:c>
    </x:row>
    <x:row r="46">
      <x:c r="A46" s="79" t="str">
        <x:v>Saint John West-Lancaster</x:v>
      </x:c>
      <x:c r="B46" s="112" t="n">
        <x:v>3525</x:v>
      </x:c>
      <x:c r="C46" s="112" t="n">
        <x:v>2787</x:v>
      </x:c>
      <x:c r="D46" s="112" t="n">
        <x:v>864</x:v>
      </x:c>
      <x:c r="E46" s="112" t="n">
        <x:f>B46*$B$59</x:f>
        <x:v>3416.2710058897687</x:v>
      </x:c>
      <x:c r="F46" s="112" t="n">
        <x:f>C46*$C$59</x:f>
        <x:v>2840.5492546211985</x:v>
      </x:c>
      <x:c r="G46" s="112" t="n">
        <x:f>D46*$D$59</x:f>
        <x:v>915.1712731412414</x:v>
      </x:c>
      <x:c r="H46" s="79" t="str">
        <x:f>IF(MAX(E46:G46)=E46,"Liberal",IF(MAX(E46:G46)=F46,"PC","Green"))</x:f>
        <x:v>Liberal</x:v>
      </x:c>
    </x:row>
    <x:row r="47">
      <x:c r="A47" s="79" t="str">
        <x:v>Shediac Bay-Dieppe</x:v>
      </x:c>
      <x:c r="B47" s="112" t="n">
        <x:v>6530</x:v>
      </x:c>
      <x:c r="C47" s="112" t="n">
        <x:v>1803</x:v>
      </x:c>
      <x:c r="D47" s="112" t="n">
        <x:v>1254</x:v>
      </x:c>
      <x:c r="E47" s="112" t="n">
        <x:f>B47*$B$59</x:f>
        <x:v>6328.581466229842</x:v>
      </x:c>
      <x:c r="F47" s="112" t="n">
        <x:f>C47*$C$59</x:f>
        <x:v>1837.642736304995</x:v>
      </x:c>
      <x:c r="G47" s="112" t="n">
        <x:f>D47*$D$59</x:f>
        <x:v>1328.2694172674962</x:v>
      </x:c>
      <x:c r="H47" s="79" t="str">
        <x:f>IF(MAX(E47:G47)=E47,"Liberal",IF(MAX(E47:G47)=F47,"PC","Green"))</x:f>
        <x:v>Liberal</x:v>
      </x:c>
    </x:row>
    <x:row r="48">
      <x:c r="A48" s="79" t="str">
        <x:v>Shediac-Cap-Acadie</x:v>
      </x:c>
      <x:c r="B48" s="112" t="n">
        <x:v>5438</x:v>
      </x:c>
      <x:c r="C48" s="112" t="n">
        <x:v>1322</x:v>
      </x:c>
      <x:c r="D48" s="112" t="n">
        <x:v>2901</x:v>
      </x:c>
      <x:c r="E48" s="112" t="n">
        <x:f>B48*$B$59</x:f>
        <x:v>5270.264320575478</x:v>
      </x:c>
      <x:c r="F48" s="112" t="n">
        <x:f>C48*$C$59</x:f>
        <x:v>1347.400830502054</x:v>
      </x:c>
      <x:c r="G48" s="112" t="n">
        <x:f>D48*$D$59</x:f>
        <x:v>3072.8146566929877</x:v>
      </x:c>
      <x:c r="H48" s="79" t="str">
        <x:f>IF(MAX(E48:G48)=E48,"Liberal",IF(MAX(E48:G48)=F48,"PC","Green"))</x:f>
        <x:v>Liberal</x:v>
      </x:c>
    </x:row>
    <x:row r="49">
      <x:c r="A49" s="79" t="str">
        <x:v>Shippagan-Les-Îles</x:v>
      </x:c>
      <x:c r="B49" s="112" t="n">
        <x:v>5021</x:v>
      </x:c>
      <x:c r="C49" s="112" t="n">
        <x:v>530</x:v>
      </x:c>
      <x:c r="D49" s="112" t="n">
        <x:v>1111</x:v>
      </x:c>
      <x:c r="E49" s="112" t="n">
        <x:f>B49*$B$59</x:f>
        <x:v>4866.126729240434</x:v>
      </x:c>
      <x:c r="F49" s="112" t="n">
        <x:f>C49*$C$59</x:f>
        <x:v>540.1833889304755</x:v>
      </x:c>
      <x:c r="G49" s="112" t="n">
        <x:f>D49*$D$59</x:f>
        <x:v>1176.8000977545362</x:v>
      </x:c>
      <x:c r="H49" s="79" t="str">
        <x:f>IF(MAX(E49:G49)=E49,"Liberal",IF(MAX(E49:G49)=F49,"PC","Green"))</x:f>
        <x:v>Liberal</x:v>
      </x:c>
    </x:row>
    <x:row r="50">
      <x:c r="A50" s="79" t="str">
        <x:v>Sussex-Three Rivers</x:v>
      </x:c>
      <x:c r="B50" s="112" t="n">
        <x:v>3282</x:v>
      </x:c>
      <x:c r="C50" s="112" t="n">
        <x:v>3789</x:v>
      </x:c>
      <x:c r="D50" s="112" t="n">
        <x:v>1235</x:v>
      </x:c>
      <x:c r="E50" s="112" t="n">
        <x:f>B50*$B$59</x:f>
        <x:v>3180.7663663348144</x:v>
      </x:c>
      <x:c r="F50" s="112" t="n">
        <x:f>C50*$C$59</x:f>
        <x:v>3861.801623882211</x:v>
      </x:c>
      <x:c r="G50" s="112" t="n">
        <x:f>D50*$D$59</x:f>
        <x:v>1308.1441230664736</x:v>
      </x:c>
      <x:c r="H50" s="79" t="str">
        <x:f>IF(MAX(E50:G50)=E50,"Liberal",IF(MAX(E50:G50)=F50,"PC","Green"))</x:f>
        <x:v>PC</x:v>
      </x:c>
    </x:row>
    <x:row r="51">
      <x:c r="A51" s="79" t="str">
        <x:v>Tantramar</x:v>
      </x:c>
      <x:c r="B51" s="112" t="n">
        <x:v>1276</x:v>
      </x:c>
      <x:c r="C51" s="112" t="n">
        <x:v>1166</x:v>
      </x:c>
      <x:c r="D51" s="112" t="n">
        <x:v>2468</x:v>
      </x:c>
      <x:c r="E51" s="112" t="n">
        <x:f>B51*$B$59</x:f>
        <x:v>1236.641646387332</x:v>
      </x:c>
      <x:c r="F51" s="112" t="n">
        <x:f>C51*$C$59</x:f>
        <x:v>1188.4034556470463</x:v>
      </x:c>
      <x:c r="G51" s="112" t="n">
        <x:f>D51*$D$59</x:f>
        <x:v>2614.169794111787</x:v>
      </x:c>
      <x:c r="H51" s="79" t="str">
        <x:f>IF(MAX(E51:G51)=E51,"Liberal",IF(MAX(E51:G51)=F51,"PC","Green"))</x:f>
        <x:v>Green</x:v>
      </x:c>
    </x:row>
    <x:row r="52">
      <x:c r="A52" s="79" t="str">
        <x:v>Tracadie</x:v>
      </x:c>
      <x:c r="B52" s="112" t="n">
        <x:v>5030</x:v>
      </x:c>
      <x:c r="C52" s="112" t="n">
        <x:v>537</x:v>
      </x:c>
      <x:c r="D52" s="112" t="n">
        <x:v>3829</x:v>
      </x:c>
      <x:c r="E52" s="112" t="n">
        <x:f>B52*$B$59</x:f>
        <x:v>4874.849123298025</x:v>
      </x:c>
      <x:c r="F52" s="112" t="n">
        <x:f>C52*$C$59</x:f>
        <x:v>547.3178865201234</x:v>
      </x:c>
      <x:c r="G52" s="112" t="n">
        <x:f>D52*$D$59</x:f>
        <x:v>4055.776394511358</x:v>
      </x:c>
      <x:c r="H52" s="79" t="str">
        <x:f>IF(MAX(E52:G52)=E52,"Liberal",IF(MAX(E52:G52)=F52,"PC","Green"))</x:f>
        <x:v>Liberal</x:v>
      </x:c>
    </x:row>
    <x:row r="53">
      <x:c r="A53" s="80" t="str">
        <x:v>Woodstock-Hartland</x:v>
      </x:c>
      <x:c r="B53" s="114" t="n">
        <x:v>2549</x:v>
      </x:c>
      <x:c r="C53" s="114" t="n">
        <x:v>4199</x:v>
      </x:c>
      <x:c r="D53" s="114" t="n">
        <x:v>276</x:v>
      </x:c>
      <x:c r="E53" s="114" t="n">
        <x:f>B53*$B$59</x:f>
        <x:v>2470.3758280888</x:v>
      </x:c>
      <x:c r="F53" s="114" t="n">
        <x:f>C53*$C$59</x:f>
        <x:v>4279.6793398472955</x:v>
      </x:c>
      <x:c r="G53" s="114" t="n">
        <x:f>D53*$D$59</x:f>
        <x:v>292.3463789201188</x:v>
      </x:c>
      <x:c r="H53" s="80" t="str">
        <x:f>IF(MAX(E53:G53)=E53,"Liberal",IF(MAX(E53:G53)=F53,"PC","Green"))</x:f>
        <x:v>PC</x:v>
      </x:c>
    </x:row>
    <x:row r="54">
      <x:c r="A54" s="184"/>
      <x:c r="B54" s="184"/>
      <x:c r="C54" s="184"/>
      <x:c r="D54" s="184"/>
      <x:c r="E54" s="184"/>
      <x:c r="F54" s="184"/>
      <x:c r="G54" s="184"/>
      <x:c r="H54" s="184"/>
    </x:row>
    <x:row r="55">
      <x:c r="A55" s="184"/>
      <x:c r="B55" s="184"/>
      <x:c r="C55" s="184"/>
      <x:c r="D55" s="184"/>
      <x:c r="E55" s="184"/>
      <x:c r="F55" s="184"/>
      <x:c r="G55" s="184"/>
      <x:c r="H55" s="184"/>
    </x:row>
    <x:row r="56" ht="30" customHeight="1">
      <x:c r="A56" s="206" t="str">
        <x:v>Model row</x:v>
      </x:c>
      <x:c r="B56" s="207" t="str">
        <x:v>Liberal</x:v>
      </x:c>
      <x:c r="C56" s="207" t="str">
        <x:v>PC</x:v>
      </x:c>
      <x:c r="D56" s="208" t="str">
        <x:v>Green</x:v>
      </x:c>
      <x:c r="E56" s="184"/>
      <x:c r="F56" s="209" t="str">
        <x:v>Validation target: 30 Liberal, 17 PC, 2 Green. The workbook formula scan and exported file are checked against this invariant.</x:v>
      </x:c>
      <x:c r="G56" s="210" t="str">
        <x:v>Validation target: 30 Liberal, 17 PC, 2 Green. The workbook formula scan and exported file are checked against this invariant.</x:v>
      </x:c>
      <x:c r="H56" s="211" t="str">
        <x:v>Validation target: 30 Liberal, 17 PC, 2 Green. The workbook formula scan and exported file are checked against this invariant.</x:v>
      </x:c>
    </x:row>
    <x:row r="57">
      <x:c r="A57" s="218" t="str">
        <x:v>Base three-party share</x:v>
      </x:c>
      <x:c r="B57" s="123" t="n">
        <x:f>SUM(B5:B53)/SUM(B5:D53)</x:f>
        <x:v>0.49713496986494216</x:v>
      </x:c>
      <x:c r="C57" s="123" t="n">
        <x:f>SUM(C5:C53)/SUM(B5:D53)</x:f>
        <x:v>0.36110377898024726</x:v>
      </x:c>
      <x:c r="D57" s="123" t="n">
        <x:f>SUM(D5:D53)/SUM(B5:D53)</x:f>
        <x:v>0.1417612511548106</x:v>
      </x:c>
      <x:c r="E57" s="184"/>
      <x:c r="F57" s="212" t="str">
        <x:v>Validation target: 30 Liberal, 17 PC, 2 Green. The workbook formula scan and exported file are checked against this invariant.</x:v>
      </x:c>
      <x:c r="G57" s="213" t="str">
        <x:v>Validation target: 30 Liberal, 17 PC, 2 Green. The workbook formula scan and exported file are checked against this invariant.</x:v>
      </x:c>
      <x:c r="H57" s="214" t="str">
        <x:v>Validation target: 30 Liberal, 17 PC, 2 Green. The workbook formula scan and exported file are checked against this invariant.</x:v>
      </x:c>
    </x:row>
    <x:row r="58">
      <x:c r="A58" s="219" t="str">
        <x:v>Target three-party share</x:v>
      </x:c>
      <x:c r="B58" s="124" t="n">
        <x:f>'Current Polls'!D11/SUM('Current Polls'!D11:F11)</x:f>
        <x:v>0.48180078966340023</x:v>
      </x:c>
      <x:c r="C58" s="124" t="n">
        <x:f>'Current Polls'!E11/SUM('Current Polls'!D11:F11)</x:f>
        <x:v>0.36804200582104035</x:v>
      </x:c>
      <x:c r="D58" s="124" t="n">
        <x:f>'Current Polls'!F11/SUM('Current Polls'!D11:F11)</x:f>
        <x:v>0.1501572045155594</x:v>
      </x:c>
      <x:c r="E58" s="184"/>
      <x:c r="F58" s="212" t="str">
        <x:v>Validation target: 30 Liberal, 17 PC, 2 Green. The workbook formula scan and exported file are checked against this invariant.</x:v>
      </x:c>
      <x:c r="G58" s="213" t="str">
        <x:v>Validation target: 30 Liberal, 17 PC, 2 Green. The workbook formula scan and exported file are checked against this invariant.</x:v>
      </x:c>
      <x:c r="H58" s="214" t="str">
        <x:v>Validation target: 30 Liberal, 17 PC, 2 Green. The workbook formula scan and exported file are checked against this invariant.</x:v>
      </x:c>
    </x:row>
    <x:row r="59">
      <x:c r="A59" s="219" t="str">
        <x:v>Scale factor</x:v>
      </x:c>
      <x:c r="B59" s="124" t="n">
        <x:f>B58/B57</x:f>
        <x:v>0.9691548952878777</x:v>
      </x:c>
      <x:c r="C59" s="124" t="n">
        <x:f>C58/C57</x:f>
        <x:v>1.0192139413782557</x:v>
      </x:c>
      <x:c r="D59" s="124" t="n">
        <x:f>D58/D57</x:f>
        <x:v>1.0592260105801405</x:v>
      </x:c>
      <x:c r="E59" s="184"/>
      <x:c r="F59" s="212" t="str">
        <x:v>Validation target: 30 Liberal, 17 PC, 2 Green. The workbook formula scan and exported file are checked against this invariant.</x:v>
      </x:c>
      <x:c r="G59" s="213" t="str">
        <x:v>Validation target: 30 Liberal, 17 PC, 2 Green. The workbook formula scan and exported file are checked against this invariant.</x:v>
      </x:c>
      <x:c r="H59" s="214" t="str">
        <x:v>Validation target: 30 Liberal, 17 PC, 2 Green. The workbook formula scan and exported file are checked against this invariant.</x:v>
      </x:c>
    </x:row>
    <x:row r="60">
      <x:c r="A60" s="219" t="str">
        <x:v>Seat label</x:v>
      </x:c>
      <x:c r="B60" s="14" t="str">
        <x:v>Liberal</x:v>
      </x:c>
      <x:c r="C60" s="14" t="str">
        <x:v>PC</x:v>
      </x:c>
      <x:c r="D60" s="14" t="str">
        <x:v>Green</x:v>
      </x:c>
      <x:c r="E60" s="184"/>
      <x:c r="F60" s="212" t="str">
        <x:v>Validation target: 30 Liberal, 17 PC, 2 Green. The workbook formula scan and exported file are checked against this invariant.</x:v>
      </x:c>
      <x:c r="G60" s="213" t="str">
        <x:v>Validation target: 30 Liberal, 17 PC, 2 Green. The workbook formula scan and exported file are checked against this invariant.</x:v>
      </x:c>
      <x:c r="H60" s="214" t="str">
        <x:v>Validation target: 30 Liberal, 17 PC, 2 Green. The workbook formula scan and exported file are checked against this invariant.</x:v>
      </x:c>
    </x:row>
    <x:row r="61">
      <x:c r="A61" s="220" t="str">
        <x:v>Seat count</x:v>
      </x:c>
      <x:c r="B61" s="15" t="n">
        <x:f>COUNTIF(H5:H53,"Liberal")</x:f>
        <x:v>30</x:v>
      </x:c>
      <x:c r="C61" s="15" t="n">
        <x:f>COUNTIF(H5:H53,"PC")</x:f>
        <x:v>17</x:v>
      </x:c>
      <x:c r="D61" s="15" t="n">
        <x:f>COUNTIF(H5:H53,"Green")</x:f>
        <x:v>2</x:v>
      </x:c>
      <x:c r="E61" s="184"/>
      <x:c r="F61" s="215" t="str">
        <x:v>Validation target: 30 Liberal, 17 PC, 2 Green. The workbook formula scan and exported file are checked against this invariant.</x:v>
      </x:c>
      <x:c r="G61" s="216" t="str">
        <x:v>Validation target: 30 Liberal, 17 PC, 2 Green. The workbook formula scan and exported file are checked against this invariant.</x:v>
      </x:c>
      <x:c r="H61" s="217" t="str">
        <x:v>Validation target: 30 Liberal, 17 PC, 2 Green. The workbook formula scan and exported file are checked against this invariant.</x:v>
      </x:c>
    </x:row>
  </x:sheetData>
  <x:mergeCells>
    <x:mergeCell ref="A1:H1"/>
    <x:mergeCell ref="A2:H2"/>
    <x:mergeCell ref="F56:H61"/>
  </x:mergeCells>
  <x:conditionalFormatting sqref="H5:H53">
    <x:cfRule type="expression" dxfId="12" priority="1">
      <x:formula>H5="Liberal"</x:formula>
    </x:cfRule>
    <x:cfRule type="expression" dxfId="13" priority="2">
      <x:formula>H5="PC"</x:formula>
    </x:cfRule>
    <x:cfRule type="expression" dxfId="14" priority="3">
      <x:formula>H5="Green"</x:formula>
    </x:cfRule>
  </x:conditionalFormatting>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30" hidden="0" customWidth="1"/>
    <x:col min="2" max="2" width="16" hidden="0" customWidth="1"/>
    <x:col min="3" max="3" width="17" hidden="0" customWidth="1"/>
    <x:col min="4" max="4" width="18" hidden="0" customWidth="1"/>
    <x:col min="5" max="5" width="16" hidden="0" customWidth="1"/>
    <x:col min="6" max="6" width="16" hidden="0" customWidth="1"/>
    <x:col min="7" max="7" width="12" hidden="0" customWidth="1"/>
    <x:col min="8" max="8" width="12" hidden="0" customWidth="1"/>
    <x:col min="9" max="9" width="12" hidden="0" customWidth="1"/>
    <x:col min="10" max="10" width="58" hidden="0" customWidth="1"/>
    <x:col min="11" max="11" width="18" hidden="0" customWidth="1"/>
    <x:col min="12" max="12" width="14" hidden="0" customWidth="1"/>
    <x:col min="13" max="13" width="14" hidden="0" customWidth="1"/>
    <x:col min="14" max="14" width="14" hidden="0" customWidth="1"/>
    <x:col min="15" max="15" width="14" hidden="0" customWidth="1"/>
  </x:cols>
  <x:sheetData>
    <x:row r="1" ht="30" customHeight="1">
      <x:c r="A1" s="182" t="str">
        <x:v>Majority firewall and tipping-seat stress test</x:v>
      </x:c>
      <x:c r="B1" s="182" t="str">
        <x:v>Majority firewall and tipping-seat stress test</x:v>
      </x:c>
      <x:c r="C1" s="182" t="str">
        <x:v>Majority firewall and tipping-seat stress test</x:v>
      </x:c>
      <x:c r="D1" s="182" t="str">
        <x:v>Majority firewall and tipping-seat stress test</x:v>
      </x:c>
      <x:c r="E1" s="182" t="str">
        <x:v>Majority firewall and tipping-seat stress test</x:v>
      </x:c>
      <x:c r="F1" s="182" t="str">
        <x:v>Majority firewall and tipping-seat stress test</x:v>
      </x:c>
      <x:c r="G1" s="182" t="str">
        <x:v>Majority firewall and tipping-seat stress test</x:v>
      </x:c>
      <x:c r="H1" s="182" t="str">
        <x:v>Majority firewall and tipping-seat stress test</x:v>
      </x:c>
      <x:c r="I1" s="182" t="str">
        <x:v>Majority firewall and tipping-seat stress test</x:v>
      </x:c>
      <x:c r="J1" s="182" t="str">
        <x:v>Majority firewall and tipping-seat stress test</x:v>
      </x:c>
      <x:c r="K1" s="184"/>
    </x:row>
    <x:row r="2" ht="26" customHeight="1">
      <x:c r="A2" s="183" t="str">
        <x:v>Deterministic proportional-swing boundaries. They are neither probabilities nor estimates of individual voter flows.</x:v>
      </x:c>
      <x:c r="B2" s="183" t="str">
        <x:v>Deterministic proportional-swing boundaries. They are neither probabilities nor estimates of individual voter flows.</x:v>
      </x:c>
      <x:c r="C2" s="183" t="str">
        <x:v>Deterministic proportional-swing boundaries. They are neither probabilities nor estimates of individual voter flows.</x:v>
      </x:c>
      <x:c r="D2" s="183" t="str">
        <x:v>Deterministic proportional-swing boundaries. They are neither probabilities nor estimates of individual voter flows.</x:v>
      </x:c>
      <x:c r="E2" s="183" t="str">
        <x:v>Deterministic proportional-swing boundaries. They are neither probabilities nor estimates of individual voter flows.</x:v>
      </x:c>
      <x:c r="F2" s="183" t="str">
        <x:v>Deterministic proportional-swing boundaries. They are neither probabilities nor estimates of individual voter flows.</x:v>
      </x:c>
      <x:c r="G2" s="183" t="str">
        <x:v>Deterministic proportional-swing boundaries. They are neither probabilities nor estimates of individual voter flows.</x:v>
      </x:c>
      <x:c r="H2" s="183" t="str">
        <x:v>Deterministic proportional-swing boundaries. They are neither probabilities nor estimates of individual voter flows.</x:v>
      </x:c>
      <x:c r="I2" s="183" t="str">
        <x:v>Deterministic proportional-swing boundaries. They are neither probabilities nor estimates of individual voter flows.</x:v>
      </x:c>
      <x:c r="J2" s="183" t="str">
        <x:v>Deterministic proportional-swing boundaries. They are neither probabilities nor estimates of individual voter flows.</x:v>
      </x:c>
      <x:c r="K2" s="184"/>
    </x:row>
    <x:row r="3">
      <x:c r="A3" s="184"/>
      <x:c r="B3" s="184"/>
      <x:c r="C3" s="184"/>
      <x:c r="D3" s="184"/>
      <x:c r="E3" s="184"/>
      <x:c r="F3" s="184"/>
      <x:c r="G3" s="184"/>
      <x:c r="H3" s="184"/>
      <x:c r="I3" s="184"/>
      <x:c r="J3" s="184"/>
      <x:c r="K3" s="184"/>
    </x:row>
    <x:row r="4" ht="30" customHeight="1">
      <x:c r="A4" s="206" t="str">
        <x:v>Boundary</x:v>
      </x:c>
      <x:c r="B4" s="207" t="str">
        <x:v>Erosion</x:v>
      </x:c>
      <x:c r="C4" s="207" t="str">
        <x:v>Resulting L-PC</x:v>
      </x:c>
      <x:c r="D4" s="207" t="str">
        <x:v>L</x:v>
      </x:c>
      <x:c r="E4" s="207" t="str">
        <x:v>PC</x:v>
      </x:c>
      <x:c r="F4" s="207" t="str">
        <x:v>G</x:v>
      </x:c>
      <x:c r="G4" s="207" t="str">
        <x:v>L seats</x:v>
      </x:c>
      <x:c r="H4" s="207" t="str">
        <x:v>PC seats</x:v>
      </x:c>
      <x:c r="I4" s="207" t="str">
        <x:v>G seats</x:v>
      </x:c>
      <x:c r="J4" s="208" t="str">
        <x:v>Interpretation</x:v>
      </x:c>
      <x:c r="K4" s="222" t="str">
        <x:v>Formula margin check</x:v>
      </x:c>
    </x:row>
    <x:row r="5">
      <x:c r="A5" s="81" t="str">
        <x:v>Loss of Liberal majority</x:v>
      </x:c>
      <x:c r="B5" s="120" t="n">
        <x:v>8.237</x:v>
      </x:c>
      <x:c r="C5" s="120" t="n">
        <x:v>1.953</x:v>
      </x:c>
      <x:c r="D5" s="120" t="n">
        <x:v>39.036</x:v>
      </x:c>
      <x:c r="E5" s="120" t="n">
        <x:v>37.083</x:v>
      </x:c>
      <x:c r="F5" s="120" t="n">
        <x:v>13.449</x:v>
      </x:c>
      <x:c r="G5" s="81" t="n">
        <x:v>24</x:v>
      </x:c>
      <x:c r="H5" s="81" t="n">
        <x:v>22</x:v>
      </x:c>
      <x:c r="I5" s="81" t="n">
        <x:v>3</x:v>
      </x:c>
      <x:c r="J5" s="81" t="str">
        <x:v>Deterministic boundary, not a probability or voter-flow estimate.</x:v>
      </x:c>
      <x:c r="K5" s="110" t="n">
        <x:f>'Current Polls'!K11-B5</x:f>
        <x:v>1.9522032686088355</x:v>
      </x:c>
    </x:row>
    <x:row r="6">
      <x:c r="A6" s="83" t="str">
        <x:v>PC seat plurality</x:v>
      </x:c>
      <x:c r="B6" s="122" t="n">
        <x:v>11.37</x:v>
      </x:c>
      <x:c r="C6" s="122" t="n">
        <x:v>-1.181</x:v>
      </x:c>
      <x:c r="D6" s="122" t="n">
        <x:v>37.469</x:v>
      </x:c>
      <x:c r="E6" s="122" t="n">
        <x:v>38.65</x:v>
      </x:c>
      <x:c r="F6" s="122" t="n">
        <x:v>13.449</x:v>
      </x:c>
      <x:c r="G6" s="83" t="n">
        <x:v>22</x:v>
      </x:c>
      <x:c r="H6" s="83" t="n">
        <x:v>24</x:v>
      </x:c>
      <x:c r="I6" s="83" t="n">
        <x:v>3</x:v>
      </x:c>
      <x:c r="J6" s="83" t="str">
        <x:v>Seat plurality is not automatically government formation.</x:v>
      </x:c>
      <x:c r="K6" s="114" t="n">
        <x:f>'Current Polls'!K11-B6</x:f>
        <x:v>-1.1807967313911636</x:v>
      </x:c>
    </x:row>
    <x:row r="7">
      <x:c r="A7" s="184"/>
      <x:c r="B7" s="184"/>
      <x:c r="C7" s="184"/>
      <x:c r="D7" s="184"/>
      <x:c r="E7" s="184"/>
      <x:c r="F7" s="184"/>
      <x:c r="G7" s="184"/>
      <x:c r="H7" s="184"/>
      <x:c r="I7" s="184"/>
      <x:c r="J7" s="184"/>
      <x:c r="K7" s="184"/>
    </x:row>
    <x:row r="8">
      <x:c r="A8" s="184"/>
      <x:c r="B8" s="184"/>
      <x:c r="C8" s="184"/>
      <x:c r="D8" s="184"/>
      <x:c r="E8" s="184"/>
      <x:c r="F8" s="184"/>
      <x:c r="G8" s="184"/>
      <x:c r="H8" s="184"/>
      <x:c r="I8" s="184"/>
      <x:c r="J8" s="184"/>
      <x:c r="K8" s="184"/>
    </x:row>
    <x:row r="9">
      <x:c r="A9" s="184"/>
      <x:c r="B9" s="184"/>
      <x:c r="C9" s="184"/>
      <x:c r="D9" s="184"/>
      <x:c r="E9" s="184"/>
      <x:c r="F9" s="184"/>
      <x:c r="G9" s="184"/>
      <x:c r="H9" s="184"/>
      <x:c r="I9" s="184"/>
      <x:c r="J9" s="184"/>
      <x:c r="K9" s="184"/>
    </x:row>
    <x:row r="10" ht="30" customHeight="1">
      <x:c r="A10" s="206" t="str">
        <x:v>Rank</x:v>
      </x:c>
      <x:c r="B10" s="207" t="str">
        <x:v>Riding</x:v>
      </x:c>
      <x:c r="C10" s="207" t="str">
        <x:v>Erosion</x:v>
      </x:c>
      <x:c r="D10" s="207" t="str">
        <x:v>L-PC margin at flip</x:v>
      </x:c>
      <x:c r="E10" s="207" t="str">
        <x:v>New winner</x:v>
      </x:c>
      <x:c r="F10" s="208" t="str">
        <x:v>Model</x:v>
      </x:c>
      <x:c r="G10" s="184"/>
      <x:c r="H10" s="184"/>
      <x:c r="I10" s="184"/>
      <x:c r="J10" s="184"/>
      <x:c r="K10" s="184"/>
    </x:row>
    <x:row r="11">
      <x:c r="A11" s="81" t="n">
        <x:v>1</x:v>
      </x:c>
      <x:c r="B11" s="81" t="str">
        <x:v>Quispamsis</x:v>
      </x:c>
      <x:c r="C11" s="81" t="n">
        <x:v>0.034</x:v>
      </x:c>
      <x:c r="D11" s="81" t="n">
        <x:v>10.155</x:v>
      </x:c>
      <x:c r="E11" s="81" t="str">
        <x:v>Pc</x:v>
      </x:c>
      <x:c r="F11" s="81" t="str">
        <x:v>Deterministic three-party proportional swing; no local probability</x:v>
      </x:c>
      <x:c r="G11" s="184"/>
      <x:c r="H11" s="184"/>
      <x:c r="I11" s="184"/>
      <x:c r="J11" s="184"/>
      <x:c r="K11" s="184"/>
    </x:row>
    <x:row r="12">
      <x:c r="A12" s="82" t="n">
        <x:v>2</x:v>
      </x:c>
      <x:c r="B12" s="82" t="str">
        <x:v>Moncton Northwest</x:v>
      </x:c>
      <x:c r="C12" s="82" t="n">
        <x:v>0.424</x:v>
      </x:c>
      <x:c r="D12" s="82" t="n">
        <x:v>9.766</x:v>
      </x:c>
      <x:c r="E12" s="82" t="str">
        <x:v>Pc</x:v>
      </x:c>
      <x:c r="F12" s="82" t="str">
        <x:v>Deterministic three-party proportional swing; no local probability</x:v>
      </x:c>
      <x:c r="G12" s="184"/>
      <x:c r="H12" s="184"/>
      <x:c r="I12" s="184"/>
      <x:c r="J12" s="184"/>
      <x:c r="K12" s="184"/>
    </x:row>
    <x:row r="13">
      <x:c r="A13" s="82" t="n">
        <x:v>3</x:v>
      </x:c>
      <x:c r="B13" s="82" t="str">
        <x:v>Hampton-Fundy-St. Martins</x:v>
      </x:c>
      <x:c r="C13" s="82" t="n">
        <x:v>0.78</x:v>
      </x:c>
      <x:c r="D13" s="82" t="n">
        <x:v>9.409</x:v>
      </x:c>
      <x:c r="E13" s="82" t="str">
        <x:v>Pc</x:v>
      </x:c>
      <x:c r="F13" s="82" t="str">
        <x:v>Deterministic three-party proportional swing; no local probability</x:v>
      </x:c>
      <x:c r="G13" s="184"/>
      <x:c r="H13" s="184"/>
      <x:c r="I13" s="184"/>
      <x:c r="J13" s="184"/>
      <x:c r="K13" s="184"/>
    </x:row>
    <x:row r="14">
      <x:c r="A14" s="82" t="n">
        <x:v>4</x:v>
      </x:c>
      <x:c r="B14" s="82" t="str">
        <x:v>Rothesay</x:v>
      </x:c>
      <x:c r="C14" s="82" t="n">
        <x:v>5.318</x:v>
      </x:c>
      <x:c r="D14" s="82" t="n">
        <x:v>4.872</x:v>
      </x:c>
      <x:c r="E14" s="82" t="str">
        <x:v>Pc</x:v>
      </x:c>
      <x:c r="F14" s="82" t="str">
        <x:v>Deterministic three-party proportional swing; no local probability</x:v>
      </x:c>
      <x:c r="G14" s="184"/>
      <x:c r="H14" s="184"/>
      <x:c r="I14" s="184"/>
      <x:c r="J14" s="184"/>
      <x:c r="K14" s="184"/>
    </x:row>
    <x:row r="15">
      <x:c r="A15" s="82" t="n">
        <x:v>5</x:v>
      </x:c>
      <x:c r="B15" s="82" t="str">
        <x:v>Saint John West-Lancaster</x:v>
      </x:c>
      <x:c r="C15" s="82" t="n">
        <x:v>6.964</x:v>
      </x:c>
      <x:c r="D15" s="82" t="n">
        <x:v>3.225</x:v>
      </x:c>
      <x:c r="E15" s="82" t="str">
        <x:v>Pc</x:v>
      </x:c>
      <x:c r="F15" s="82" t="str">
        <x:v>Deterministic three-party proportional swing; no local probability</x:v>
      </x:c>
      <x:c r="G15" s="184"/>
      <x:c r="H15" s="184"/>
      <x:c r="I15" s="184"/>
      <x:c r="J15" s="184"/>
      <x:c r="K15" s="184"/>
    </x:row>
    <x:row r="16">
      <x:c r="A16" s="82" t="n">
        <x:v>6</x:v>
      </x:c>
      <x:c r="B16" s="82" t="str">
        <x:v>Kent North</x:v>
      </x:c>
      <x:c r="C16" s="82" t="n">
        <x:v>8.237</x:v>
      </x:c>
      <x:c r="D16" s="82" t="n">
        <x:v>1.953</x:v>
      </x:c>
      <x:c r="E16" s="82" t="str">
        <x:v>Green</x:v>
      </x:c>
      <x:c r="F16" s="82" t="str">
        <x:v>Deterministic three-party proportional swing; no local probability</x:v>
      </x:c>
      <x:c r="G16" s="184"/>
      <x:c r="H16" s="184"/>
      <x:c r="I16" s="184"/>
      <x:c r="J16" s="184"/>
      <x:c r="K16" s="184"/>
    </x:row>
    <x:row r="17">
      <x:c r="A17" s="82" t="n">
        <x:v>7</x:v>
      </x:c>
      <x:c r="B17" s="82" t="str">
        <x:v>Miramichi Bay-Neguac</x:v>
      </x:c>
      <x:c r="C17" s="82" t="n">
        <x:v>9.191</x:v>
      </x:c>
      <x:c r="D17" s="82" t="n">
        <x:v>0.998</x:v>
      </x:c>
      <x:c r="E17" s="82" t="str">
        <x:v>Pc</x:v>
      </x:c>
      <x:c r="F17" s="82" t="str">
        <x:v>Deterministic three-party proportional swing; no local probability</x:v>
      </x:c>
      <x:c r="G17" s="184"/>
      <x:c r="H17" s="184"/>
      <x:c r="I17" s="184"/>
      <x:c r="J17" s="184"/>
      <x:c r="K17" s="184"/>
    </x:row>
    <x:row r="18">
      <x:c r="A18" s="82" t="n">
        <x:v>8</x:v>
      </x:c>
      <x:c r="B18" s="82" t="str">
        <x:v>Saint John Portland-Simonds</x:v>
      </x:c>
      <x:c r="C18" s="82" t="n">
        <x:v>11.37</x:v>
      </x:c>
      <x:c r="D18" s="82" t="n">
        <x:v>-1.181</x:v>
      </x:c>
      <x:c r="E18" s="82" t="str">
        <x:v>Pc</x:v>
      </x:c>
      <x:c r="F18" s="82" t="str">
        <x:v>Deterministic three-party proportional swing; no local probability</x:v>
      </x:c>
      <x:c r="G18" s="184"/>
      <x:c r="H18" s="184"/>
      <x:c r="I18" s="184"/>
      <x:c r="J18" s="184"/>
      <x:c r="K18" s="184"/>
    </x:row>
    <x:row r="19">
      <x:c r="A19" s="82" t="n">
        <x:v>9</x:v>
      </x:c>
      <x:c r="B19" s="82" t="str">
        <x:v>Fredericton North</x:v>
      </x:c>
      <x:c r="C19" s="82" t="n">
        <x:v>13.456</x:v>
      </x:c>
      <x:c r="D19" s="82" t="n">
        <x:v>-3.267</x:v>
      </x:c>
      <x:c r="E19" s="82" t="str">
        <x:v>Pc</x:v>
      </x:c>
      <x:c r="F19" s="82" t="str">
        <x:v>Deterministic three-party proportional swing; no local probability</x:v>
      </x:c>
      <x:c r="G19" s="184"/>
      <x:c r="H19" s="184"/>
      <x:c r="I19" s="184"/>
      <x:c r="J19" s="184"/>
      <x:c r="K19" s="184"/>
    </x:row>
    <x:row r="20">
      <x:c r="A20" s="82" t="n">
        <x:v>10</x:v>
      </x:c>
      <x:c r="B20" s="82" t="str">
        <x:v>Champdoré-Irishtown</x:v>
      </x:c>
      <x:c r="C20" s="82" t="n">
        <x:v>14.036</x:v>
      </x:c>
      <x:c r="D20" s="82" t="n">
        <x:v>-3.847</x:v>
      </x:c>
      <x:c r="E20" s="82" t="str">
        <x:v>Pc</x:v>
      </x:c>
      <x:c r="F20" s="82" t="str">
        <x:v>Deterministic three-party proportional swing; no local probability</x:v>
      </x:c>
      <x:c r="G20" s="184"/>
      <x:c r="H20" s="184"/>
      <x:c r="I20" s="184"/>
      <x:c r="J20" s="184"/>
      <x:c r="K20" s="184"/>
    </x:row>
    <x:row r="21">
      <x:c r="A21" s="82" t="n">
        <x:v>11</x:v>
      </x:c>
      <x:c r="B21" s="82" t="str">
        <x:v>Tracadie</x:v>
      </x:c>
      <x:c r="C21" s="82" t="n">
        <x:v>14.502</x:v>
      </x:c>
      <x:c r="D21" s="82" t="n">
        <x:v>-4.312</x:v>
      </x:c>
      <x:c r="E21" s="82" t="str">
        <x:v>Green</x:v>
      </x:c>
      <x:c r="F21" s="82" t="str">
        <x:v>Deterministic three-party proportional swing; no local probability</x:v>
      </x:c>
      <x:c r="G21" s="184"/>
      <x:c r="H21" s="184"/>
      <x:c r="I21" s="184"/>
      <x:c r="J21" s="184"/>
      <x:c r="K21" s="184"/>
    </x:row>
    <x:row r="22">
      <x:c r="A22" s="82" t="n">
        <x:v>12</x:v>
      </x:c>
      <x:c r="B22" s="82" t="str">
        <x:v>Restigouche East</x:v>
      </x:c>
      <x:c r="C22" s="82" t="n">
        <x:v>15.442</x:v>
      </x:c>
      <x:c r="D22" s="82" t="n">
        <x:v>-5.253</x:v>
      </x:c>
      <x:c r="E22" s="82" t="str">
        <x:v>Pc</x:v>
      </x:c>
      <x:c r="F22" s="82" t="str">
        <x:v>Deterministic three-party proportional swing; no local probability</x:v>
      </x:c>
      <x:c r="G22" s="184"/>
      <x:c r="H22" s="184"/>
      <x:c r="I22" s="184"/>
      <x:c r="J22" s="184"/>
      <x:c r="K22" s="184"/>
    </x:row>
    <x:row r="23">
      <x:c r="A23" s="82" t="n">
        <x:v>13</x:v>
      </x:c>
      <x:c r="B23" s="82" t="str">
        <x:v>Moncton South</x:v>
      </x:c>
      <x:c r="C23" s="82" t="n">
        <x:v>15.82</x:v>
      </x:c>
      <x:c r="D23" s="82" t="n">
        <x:v>-5.631</x:v>
      </x:c>
      <x:c r="E23" s="82" t="str">
        <x:v>Pc</x:v>
      </x:c>
      <x:c r="F23" s="82" t="str">
        <x:v>Deterministic three-party proportional swing; no local probability</x:v>
      </x:c>
      <x:c r="G23" s="184"/>
      <x:c r="H23" s="184"/>
      <x:c r="I23" s="184"/>
      <x:c r="J23" s="184"/>
      <x:c r="K23" s="184"/>
    </x:row>
    <x:row r="24">
      <x:c r="A24" s="82" t="n">
        <x:v>14</x:v>
      </x:c>
      <x:c r="B24" s="82" t="str">
        <x:v>Bathurst</x:v>
      </x:c>
      <x:c r="C24" s="82" t="n">
        <x:v>17.165</x:v>
      </x:c>
      <x:c r="D24" s="82" t="n">
        <x:v>-6.976</x:v>
      </x:c>
      <x:c r="E24" s="82" t="str">
        <x:v>Pc</x:v>
      </x:c>
      <x:c r="F24" s="82" t="str">
        <x:v>Deterministic three-party proportional swing; no local probability</x:v>
      </x:c>
      <x:c r="G24" s="184"/>
      <x:c r="H24" s="184"/>
      <x:c r="I24" s="184"/>
      <x:c r="J24" s="184"/>
      <x:c r="K24" s="184"/>
    </x:row>
    <x:row r="25">
      <x:c r="A25" s="82" t="n">
        <x:v>15</x:v>
      </x:c>
      <x:c r="B25" s="82" t="str">
        <x:v>Grand Falls-Vallée-des-Rivières-Saint-Quentin</x:v>
      </x:c>
      <x:c r="C25" s="82" t="n">
        <x:v>24.166</x:v>
      </x:c>
      <x:c r="D25" s="82" t="n">
        <x:v>-13.977</x:v>
      </x:c>
      <x:c r="E25" s="82" t="str">
        <x:v>Pc</x:v>
      </x:c>
      <x:c r="F25" s="82" t="str">
        <x:v>Deterministic three-party proportional swing; no local probability</x:v>
      </x:c>
      <x:c r="G25" s="184"/>
      <x:c r="H25" s="184"/>
      <x:c r="I25" s="184"/>
      <x:c r="J25" s="184"/>
      <x:c r="K25" s="184"/>
    </x:row>
    <x:row r="26">
      <x:c r="A26" s="82" t="n">
        <x:v>16</x:v>
      </x:c>
      <x:c r="B26" s="82" t="str">
        <x:v>Fredericton South-Silverwood</x:v>
      </x:c>
      <x:c r="C26" s="82" t="n">
        <x:v>24.488</x:v>
      </x:c>
      <x:c r="D26" s="82" t="n">
        <x:v>-14.299</x:v>
      </x:c>
      <x:c r="E26" s="82" t="str">
        <x:v>Pc</x:v>
      </x:c>
      <x:c r="F26" s="82" t="str">
        <x:v>Deterministic three-party proportional swing; no local probability</x:v>
      </x:c>
      <x:c r="G26" s="184"/>
      <x:c r="H26" s="184"/>
      <x:c r="I26" s="184"/>
      <x:c r="J26" s="184"/>
      <x:c r="K26" s="184"/>
    </x:row>
    <x:row r="27">
      <x:c r="A27" s="82" t="n">
        <x:v>17</x:v>
      </x:c>
      <x:c r="B27" s="82" t="str">
        <x:v>Moncton Centre</x:v>
      </x:c>
      <x:c r="C27" s="82" t="n">
        <x:v>24.503</x:v>
      </x:c>
      <x:c r="D27" s="82" t="n">
        <x:v>-14.314</x:v>
      </x:c>
      <x:c r="E27" s="82" t="str">
        <x:v>Pc</x:v>
      </x:c>
      <x:c r="F27" s="82" t="str">
        <x:v>Deterministic three-party proportional swing; no local probability</x:v>
      </x:c>
      <x:c r="G27" s="184"/>
      <x:c r="H27" s="184"/>
      <x:c r="I27" s="184"/>
      <x:c r="J27" s="184"/>
      <x:c r="K27" s="184"/>
    </x:row>
    <x:row r="28">
      <x:c r="A28" s="82" t="n">
        <x:v>18</x:v>
      </x:c>
      <x:c r="B28" s="82" t="str">
        <x:v>Saint John Harbour</x:v>
      </x:c>
      <x:c r="C28" s="82" t="n">
        <x:v>27.441</x:v>
      </x:c>
      <x:c r="D28" s="82" t="n">
        <x:v>-17.252</x:v>
      </x:c>
      <x:c r="E28" s="82" t="str">
        <x:v>Pc</x:v>
      </x:c>
      <x:c r="F28" s="82" t="str">
        <x:v>Deterministic three-party proportional swing; no local probability</x:v>
      </x:c>
      <x:c r="G28" s="184"/>
      <x:c r="H28" s="184"/>
      <x:c r="I28" s="184"/>
      <x:c r="J28" s="184"/>
      <x:c r="K28" s="184"/>
    </x:row>
    <x:row r="29">
      <x:c r="A29" s="82" t="n">
        <x:v>19</x:v>
      </x:c>
      <x:c r="B29" s="82" t="str">
        <x:v>Restigouche West</x:v>
      </x:c>
      <x:c r="C29" s="82" t="n">
        <x:v>29.368</x:v>
      </x:c>
      <x:c r="D29" s="82" t="n">
        <x:v>-19.178</x:v>
      </x:c>
      <x:c r="E29" s="82" t="str">
        <x:v>Pc</x:v>
      </x:c>
      <x:c r="F29" s="82" t="str">
        <x:v>Deterministic three-party proportional swing; no local probability</x:v>
      </x:c>
      <x:c r="G29" s="184"/>
      <x:c r="H29" s="184"/>
      <x:c r="I29" s="184"/>
      <x:c r="J29" s="184"/>
      <x:c r="K29" s="184"/>
    </x:row>
    <x:row r="30">
      <x:c r="A30" s="82" t="n">
        <x:v>20</x:v>
      </x:c>
      <x:c r="B30" s="82" t="str">
        <x:v>Moncton East</x:v>
      </x:c>
      <x:c r="C30" s="82" t="n">
        <x:v>29.886</x:v>
      </x:c>
      <x:c r="D30" s="82" t="n">
        <x:v>-19.696</x:v>
      </x:c>
      <x:c r="E30" s="82" t="str">
        <x:v>Pc</x:v>
      </x:c>
      <x:c r="F30" s="82" t="str">
        <x:v>Deterministic three-party proportional swing; no local probability</x:v>
      </x:c>
      <x:c r="G30" s="184"/>
      <x:c r="H30" s="184"/>
      <x:c r="I30" s="184"/>
      <x:c r="J30" s="184"/>
      <x:c r="K30" s="184"/>
    </x:row>
    <x:row r="31">
      <x:c r="A31" s="83" t="n">
        <x:v>21</x:v>
      </x:c>
      <x:c r="B31" s="83" t="str">
        <x:v>Madawaska Les Lacs-Edmundston</x:v>
      </x:c>
      <x:c r="C31" s="83" t="n">
        <x:v>31.331</x:v>
      </x:c>
      <x:c r="D31" s="83" t="n">
        <x:v>-21.142</x:v>
      </x:c>
      <x:c r="E31" s="83" t="str">
        <x:v>Pc</x:v>
      </x:c>
      <x:c r="F31" s="83" t="str">
        <x:v>Deterministic three-party proportional swing; no local probability</x:v>
      </x:c>
      <x:c r="G31" s="184"/>
      <x:c r="H31" s="184"/>
      <x:c r="I31" s="184"/>
      <x:c r="J31" s="184"/>
      <x:c r="K31" s="184"/>
    </x:row>
    <x:row r="32">
      <x:c r="A32" s="184"/>
      <x:c r="B32" s="184"/>
      <x:c r="C32" s="184"/>
      <x:c r="D32" s="184"/>
      <x:c r="E32" s="184"/>
      <x:c r="F32" s="184"/>
      <x:c r="G32" s="184"/>
      <x:c r="H32" s="184"/>
      <x:c r="I32" s="184"/>
      <x:c r="J32" s="184"/>
      <x:c r="K32" s="184"/>
    </x:row>
    <x:row r="33">
      <x:c r="A33" s="184"/>
      <x:c r="B33" s="184"/>
      <x:c r="C33" s="184"/>
      <x:c r="D33" s="184"/>
      <x:c r="E33" s="184"/>
      <x:c r="F33" s="184"/>
      <x:c r="G33" s="184"/>
      <x:c r="H33" s="184"/>
      <x:c r="I33" s="184"/>
      <x:c r="J33" s="184"/>
      <x:c r="K33" s="184"/>
    </x:row>
    <x:row r="34">
      <x:c r="A34" s="185" t="str">
        <x:v>Lower current-poll sensitivity: Porter O’Brien 43–39–13</x:v>
      </x:c>
      <x:c r="B34" s="186"/>
      <x:c r="C34" s="186"/>
      <x:c r="D34" s="186"/>
      <x:c r="E34" s="186"/>
      <x:c r="F34" s="186"/>
      <x:c r="G34" s="186"/>
      <x:c r="H34" s="186"/>
      <x:c r="I34" s="187"/>
      <x:c r="J34" s="184"/>
      <x:c r="K34" s="184"/>
    </x:row>
    <x:row r="35" ht="30" customHeight="1">
      <x:c r="A35" s="206" t="str">
        <x:v>Start</x:v>
      </x:c>
      <x:c r="B35" s="207" t="str">
        <x:v>Start L seats</x:v>
      </x:c>
      <x:c r="C35" s="207" t="str">
        <x:v>Boundary</x:v>
      </x:c>
      <x:c r="D35" s="207" t="str">
        <x:v>Additional erosion</x:v>
      </x:c>
      <x:c r="E35" s="207" t="str">
        <x:v>Resulting margin</x:v>
      </x:c>
      <x:c r="F35" s="207" t="str">
        <x:v>L</x:v>
      </x:c>
      <x:c r="G35" s="207" t="str">
        <x:v>PC</x:v>
      </x:c>
      <x:c r="H35" s="207" t="str">
        <x:v>G</x:v>
      </x:c>
      <x:c r="I35" s="208" t="str">
        <x:v>Additional Liberal losses</x:v>
      </x:c>
      <x:c r="J35" s="184"/>
      <x:c r="K35" s="184"/>
    </x:row>
    <x:row r="36">
      <x:c r="A36" s="81" t="str">
        <x:v>Porter O'Brien 43-39-13</x:v>
      </x:c>
      <x:c r="B36" s="81" t="n">
        <x:v>26</x:v>
      </x:c>
      <x:c r="C36" s="81" t="str">
        <x:v>Loss of Liberal majority</x:v>
      </x:c>
      <x:c r="D36" s="81" t="n">
        <x:v>2.925</x:v>
      </x:c>
      <x:c r="E36" s="81" t="n">
        <x:v>1.075</x:v>
      </x:c>
      <x:c r="F36" s="81" t="n">
        <x:v>24</x:v>
      </x:c>
      <x:c r="G36" s="81" t="n">
        <x:v>23</x:v>
      </x:c>
      <x:c r="H36" s="81" t="n">
        <x:v>2</x:v>
      </x:c>
      <x:c r="I36" s="81" t="str">
        <x:v>Miramichi Bay-Neguac; Saint John West-Lancaster</x:v>
      </x:c>
      <x:c r="J36" s="184"/>
      <x:c r="K36" s="184"/>
    </x:row>
    <x:row r="37">
      <x:c r="A37" s="83" t="str">
        <x:v>Porter O'Brien 43-39-13</x:v>
      </x:c>
      <x:c r="B37" s="83" t="n">
        <x:v>26</x:v>
      </x:c>
      <x:c r="C37" s="83" t="str">
        <x:v>PC seat plurality</x:v>
      </x:c>
      <x:c r="D37" s="83" t="n">
        <x:v>5.272</x:v>
      </x:c>
      <x:c r="E37" s="83" t="n">
        <x:v>-1.272</x:v>
      </x:c>
      <x:c r="F37" s="83" t="n">
        <x:v>23</x:v>
      </x:c>
      <x:c r="G37" s="83" t="n">
        <x:v>24</x:v>
      </x:c>
      <x:c r="H37" s="83" t="n">
        <x:v>2</x:v>
      </x:c>
      <x:c r="I37" s="83" t="str">
        <x:v>Miramichi Bay-Neguac; Saint John Portland-Simonds; Saint John West-Lancaster</x:v>
      </x:c>
      <x:c r="J37" s="184"/>
      <x:c r="K37" s="184"/>
    </x:row>
    <x:row r="38">
      <x:c r="A38" s="184"/>
      <x:c r="B38" s="184"/>
      <x:c r="C38" s="184"/>
      <x:c r="D38" s="184"/>
      <x:c r="E38" s="184"/>
      <x:c r="F38" s="184"/>
      <x:c r="G38" s="184"/>
      <x:c r="H38" s="184"/>
      <x:c r="I38" s="184"/>
      <x:c r="J38" s="184"/>
      <x:c r="K38" s="184"/>
    </x:row>
    <x:row r="39">
      <x:c r="A39" s="184"/>
      <x:c r="B39" s="184"/>
      <x:c r="C39" s="184"/>
      <x:c r="D39" s="184"/>
      <x:c r="E39" s="184"/>
      <x:c r="F39" s="184"/>
      <x:c r="G39" s="184"/>
      <x:c r="H39" s="184"/>
      <x:c r="I39" s="184"/>
      <x:c r="J39" s="184"/>
      <x:c r="K39" s="184"/>
    </x:row>
    <x:row r="40">
      <x:c r="A40" s="209" t="str">
        <x:v>Main recency-benchmark boundary: about 8.2 points of adverse L-PC margin erosion removes the majority. From the lower Porter O’Brien benchmark, only a further 2.9 points are required. This dependence on the current poll is a key sensitivity, not a confidence interval.</x:v>
      </x:c>
      <x:c r="B40" s="210" t="str">
        <x:v>Main recency-benchmark boundary: about 8.2 points of adverse L-PC margin erosion removes the majority. From the lower Porter O’Brien benchmark, only a further 2.9 points are required. This dependence on the current poll is a key sensitivity, not a confidence interval.</x:v>
      </x:c>
      <x:c r="C40" s="210" t="str">
        <x:v>Main recency-benchmark boundary: about 8.2 points of adverse L-PC margin erosion removes the majority. From the lower Porter O’Brien benchmark, only a further 2.9 points are required. This dependence on the current poll is a key sensitivity, not a confidence interval.</x:v>
      </x:c>
      <x:c r="D40" s="210" t="str">
        <x:v>Main recency-benchmark boundary: about 8.2 points of adverse L-PC margin erosion removes the majority. From the lower Porter O’Brien benchmark, only a further 2.9 points are required. This dependence on the current poll is a key sensitivity, not a confidence interval.</x:v>
      </x:c>
      <x:c r="E40" s="210" t="str">
        <x:v>Main recency-benchmark boundary: about 8.2 points of adverse L-PC margin erosion removes the majority. From the lower Porter O’Brien benchmark, only a further 2.9 points are required. This dependence on the current poll is a key sensitivity, not a confidence interval.</x:v>
      </x:c>
      <x:c r="F40" s="210" t="str">
        <x:v>Main recency-benchmark boundary: about 8.2 points of adverse L-PC margin erosion removes the majority. From the lower Porter O’Brien benchmark, only a further 2.9 points are required. This dependence on the current poll is a key sensitivity, not a confidence interval.</x:v>
      </x:c>
      <x:c r="G40" s="210" t="str">
        <x:v>Main recency-benchmark boundary: about 8.2 points of adverse L-PC margin erosion removes the majority. From the lower Porter O’Brien benchmark, only a further 2.9 points are required. This dependence on the current poll is a key sensitivity, not a confidence interval.</x:v>
      </x:c>
      <x:c r="H40" s="210" t="str">
        <x:v>Main recency-benchmark boundary: about 8.2 points of adverse L-PC margin erosion removes the majority. From the lower Porter O’Brien benchmark, only a further 2.9 points are required. This dependence on the current poll is a key sensitivity, not a confidence interval.</x:v>
      </x:c>
      <x:c r="I40" s="210" t="str">
        <x:v>Main recency-benchmark boundary: about 8.2 points of adverse L-PC margin erosion removes the majority. From the lower Porter O’Brien benchmark, only a further 2.9 points are required. This dependence on the current poll is a key sensitivity, not a confidence interval.</x:v>
      </x:c>
      <x:c r="J40" s="210" t="str">
        <x:v>Main recency-benchmark boundary: about 8.2 points of adverse L-PC margin erosion removes the majority. From the lower Porter O’Brien benchmark, only a further 2.9 points are required. This dependence on the current poll is a key sensitivity, not a confidence interval.</x:v>
      </x:c>
      <x:c r="K40" s="211" t="str">
        <x:v>Main recency-benchmark boundary: about 8.2 points of adverse L-PC margin erosion removes the majority. From the lower Porter O’Brien benchmark, only a further 2.9 points are required. This dependence on the current poll is a key sensitivity, not a confidence interval.</x:v>
      </x:c>
    </x:row>
    <x:row r="41">
      <x:c r="A41" s="212" t="str">
        <x:v>Main recency-benchmark boundary: about 8.2 points of adverse L-PC margin erosion removes the majority. From the lower Porter O’Brien benchmark, only a further 2.9 points are required. This dependence on the current poll is a key sensitivity, not a confidence interval.</x:v>
      </x:c>
      <x:c r="B41" s="213" t="str">
        <x:v>Main recency-benchmark boundary: about 8.2 points of adverse L-PC margin erosion removes the majority. From the lower Porter O’Brien benchmark, only a further 2.9 points are required. This dependence on the current poll is a key sensitivity, not a confidence interval.</x:v>
      </x:c>
      <x:c r="C41" s="213" t="str">
        <x:v>Main recency-benchmark boundary: about 8.2 points of adverse L-PC margin erosion removes the majority. From the lower Porter O’Brien benchmark, only a further 2.9 points are required. This dependence on the current poll is a key sensitivity, not a confidence interval.</x:v>
      </x:c>
      <x:c r="D41" s="213" t="str">
        <x:v>Main recency-benchmark boundary: about 8.2 points of adverse L-PC margin erosion removes the majority. From the lower Porter O’Brien benchmark, only a further 2.9 points are required. This dependence on the current poll is a key sensitivity, not a confidence interval.</x:v>
      </x:c>
      <x:c r="E41" s="213" t="str">
        <x:v>Main recency-benchmark boundary: about 8.2 points of adverse L-PC margin erosion removes the majority. From the lower Porter O’Brien benchmark, only a further 2.9 points are required. This dependence on the current poll is a key sensitivity, not a confidence interval.</x:v>
      </x:c>
      <x:c r="F41" s="213" t="str">
        <x:v>Main recency-benchmark boundary: about 8.2 points of adverse L-PC margin erosion removes the majority. From the lower Porter O’Brien benchmark, only a further 2.9 points are required. This dependence on the current poll is a key sensitivity, not a confidence interval.</x:v>
      </x:c>
      <x:c r="G41" s="213" t="str">
        <x:v>Main recency-benchmark boundary: about 8.2 points of adverse L-PC margin erosion removes the majority. From the lower Porter O’Brien benchmark, only a further 2.9 points are required. This dependence on the current poll is a key sensitivity, not a confidence interval.</x:v>
      </x:c>
      <x:c r="H41" s="213" t="str">
        <x:v>Main recency-benchmark boundary: about 8.2 points of adverse L-PC margin erosion removes the majority. From the lower Porter O’Brien benchmark, only a further 2.9 points are required. This dependence on the current poll is a key sensitivity, not a confidence interval.</x:v>
      </x:c>
      <x:c r="I41" s="213" t="str">
        <x:v>Main recency-benchmark boundary: about 8.2 points of adverse L-PC margin erosion removes the majority. From the lower Porter O’Brien benchmark, only a further 2.9 points are required. This dependence on the current poll is a key sensitivity, not a confidence interval.</x:v>
      </x:c>
      <x:c r="J41" s="213" t="str">
        <x:v>Main recency-benchmark boundary: about 8.2 points of adverse L-PC margin erosion removes the majority. From the lower Porter O’Brien benchmark, only a further 2.9 points are required. This dependence on the current poll is a key sensitivity, not a confidence interval.</x:v>
      </x:c>
      <x:c r="K41" s="214" t="str">
        <x:v>Main recency-benchmark boundary: about 8.2 points of adverse L-PC margin erosion removes the majority. From the lower Porter O’Brien benchmark, only a further 2.9 points are required. This dependence on the current poll is a key sensitivity, not a confidence interval.</x:v>
      </x:c>
    </x:row>
    <x:row r="42">
      <x:c r="A42" s="212" t="str">
        <x:v>Main recency-benchmark boundary: about 8.2 points of adverse L-PC margin erosion removes the majority. From the lower Porter O’Brien benchmark, only a further 2.9 points are required. This dependence on the current poll is a key sensitivity, not a confidence interval.</x:v>
      </x:c>
      <x:c r="B42" s="213" t="str">
        <x:v>Main recency-benchmark boundary: about 8.2 points of adverse L-PC margin erosion removes the majority. From the lower Porter O’Brien benchmark, only a further 2.9 points are required. This dependence on the current poll is a key sensitivity, not a confidence interval.</x:v>
      </x:c>
      <x:c r="C42" s="213" t="str">
        <x:v>Main recency-benchmark boundary: about 8.2 points of adverse L-PC margin erosion removes the majority. From the lower Porter O’Brien benchmark, only a further 2.9 points are required. This dependence on the current poll is a key sensitivity, not a confidence interval.</x:v>
      </x:c>
      <x:c r="D42" s="213" t="str">
        <x:v>Main recency-benchmark boundary: about 8.2 points of adverse L-PC margin erosion removes the majority. From the lower Porter O’Brien benchmark, only a further 2.9 points are required. This dependence on the current poll is a key sensitivity, not a confidence interval.</x:v>
      </x:c>
      <x:c r="E42" s="213" t="str">
        <x:v>Main recency-benchmark boundary: about 8.2 points of adverse L-PC margin erosion removes the majority. From the lower Porter O’Brien benchmark, only a further 2.9 points are required. This dependence on the current poll is a key sensitivity, not a confidence interval.</x:v>
      </x:c>
      <x:c r="F42" s="213" t="str">
        <x:v>Main recency-benchmark boundary: about 8.2 points of adverse L-PC margin erosion removes the majority. From the lower Porter O’Brien benchmark, only a further 2.9 points are required. This dependence on the current poll is a key sensitivity, not a confidence interval.</x:v>
      </x:c>
      <x:c r="G42" s="213" t="str">
        <x:v>Main recency-benchmark boundary: about 8.2 points of adverse L-PC margin erosion removes the majority. From the lower Porter O’Brien benchmark, only a further 2.9 points are required. This dependence on the current poll is a key sensitivity, not a confidence interval.</x:v>
      </x:c>
      <x:c r="H42" s="213" t="str">
        <x:v>Main recency-benchmark boundary: about 8.2 points of adverse L-PC margin erosion removes the majority. From the lower Porter O’Brien benchmark, only a further 2.9 points are required. This dependence on the current poll is a key sensitivity, not a confidence interval.</x:v>
      </x:c>
      <x:c r="I42" s="213" t="str">
        <x:v>Main recency-benchmark boundary: about 8.2 points of adverse L-PC margin erosion removes the majority. From the lower Porter O’Brien benchmark, only a further 2.9 points are required. This dependence on the current poll is a key sensitivity, not a confidence interval.</x:v>
      </x:c>
      <x:c r="J42" s="213" t="str">
        <x:v>Main recency-benchmark boundary: about 8.2 points of adverse L-PC margin erosion removes the majority. From the lower Porter O’Brien benchmark, only a further 2.9 points are required. This dependence on the current poll is a key sensitivity, not a confidence interval.</x:v>
      </x:c>
      <x:c r="K42" s="214" t="str">
        <x:v>Main recency-benchmark boundary: about 8.2 points of adverse L-PC margin erosion removes the majority. From the lower Porter O’Brien benchmark, only a further 2.9 points are required. This dependence on the current poll is a key sensitivity, not a confidence interval.</x:v>
      </x:c>
    </x:row>
    <x:row r="43">
      <x:c r="A43" s="212" t="str">
        <x:v>Main recency-benchmark boundary: about 8.2 points of adverse L-PC margin erosion removes the majority. From the lower Porter O’Brien benchmark, only a further 2.9 points are required. This dependence on the current poll is a key sensitivity, not a confidence interval.</x:v>
      </x:c>
      <x:c r="B43" s="213" t="str">
        <x:v>Main recency-benchmark boundary: about 8.2 points of adverse L-PC margin erosion removes the majority. From the lower Porter O’Brien benchmark, only a further 2.9 points are required. This dependence on the current poll is a key sensitivity, not a confidence interval.</x:v>
      </x:c>
      <x:c r="C43" s="213" t="str">
        <x:v>Main recency-benchmark boundary: about 8.2 points of adverse L-PC margin erosion removes the majority. From the lower Porter O’Brien benchmark, only a further 2.9 points are required. This dependence on the current poll is a key sensitivity, not a confidence interval.</x:v>
      </x:c>
      <x:c r="D43" s="213" t="str">
        <x:v>Main recency-benchmark boundary: about 8.2 points of adverse L-PC margin erosion removes the majority. From the lower Porter O’Brien benchmark, only a further 2.9 points are required. This dependence on the current poll is a key sensitivity, not a confidence interval.</x:v>
      </x:c>
      <x:c r="E43" s="213" t="str">
        <x:v>Main recency-benchmark boundary: about 8.2 points of adverse L-PC margin erosion removes the majority. From the lower Porter O’Brien benchmark, only a further 2.9 points are required. This dependence on the current poll is a key sensitivity, not a confidence interval.</x:v>
      </x:c>
      <x:c r="F43" s="213" t="str">
        <x:v>Main recency-benchmark boundary: about 8.2 points of adverse L-PC margin erosion removes the majority. From the lower Porter O’Brien benchmark, only a further 2.9 points are required. This dependence on the current poll is a key sensitivity, not a confidence interval.</x:v>
      </x:c>
      <x:c r="G43" s="213" t="str">
        <x:v>Main recency-benchmark boundary: about 8.2 points of adverse L-PC margin erosion removes the majority. From the lower Porter O’Brien benchmark, only a further 2.9 points are required. This dependence on the current poll is a key sensitivity, not a confidence interval.</x:v>
      </x:c>
      <x:c r="H43" s="213" t="str">
        <x:v>Main recency-benchmark boundary: about 8.2 points of adverse L-PC margin erosion removes the majority. From the lower Porter O’Brien benchmark, only a further 2.9 points are required. This dependence on the current poll is a key sensitivity, not a confidence interval.</x:v>
      </x:c>
      <x:c r="I43" s="213" t="str">
        <x:v>Main recency-benchmark boundary: about 8.2 points of adverse L-PC margin erosion removes the majority. From the lower Porter O’Brien benchmark, only a further 2.9 points are required. This dependence on the current poll is a key sensitivity, not a confidence interval.</x:v>
      </x:c>
      <x:c r="J43" s="213" t="str">
        <x:v>Main recency-benchmark boundary: about 8.2 points of adverse L-PC margin erosion removes the majority. From the lower Porter O’Brien benchmark, only a further 2.9 points are required. This dependence on the current poll is a key sensitivity, not a confidence interval.</x:v>
      </x:c>
      <x:c r="K43" s="214" t="str">
        <x:v>Main recency-benchmark boundary: about 8.2 points of adverse L-PC margin erosion removes the majority. From the lower Porter O’Brien benchmark, only a further 2.9 points are required. This dependence on the current poll is a key sensitivity, not a confidence interval.</x:v>
      </x:c>
    </x:row>
    <x:row r="44">
      <x:c r="A44" s="215" t="str">
        <x:v>Main recency-benchmark boundary: about 8.2 points of adverse L-PC margin erosion removes the majority. From the lower Porter O’Brien benchmark, only a further 2.9 points are required. This dependence on the current poll is a key sensitivity, not a confidence interval.</x:v>
      </x:c>
      <x:c r="B44" s="216" t="str">
        <x:v>Main recency-benchmark boundary: about 8.2 points of adverse L-PC margin erosion removes the majority. From the lower Porter O’Brien benchmark, only a further 2.9 points are required. This dependence on the current poll is a key sensitivity, not a confidence interval.</x:v>
      </x:c>
      <x:c r="C44" s="216" t="str">
        <x:v>Main recency-benchmark boundary: about 8.2 points of adverse L-PC margin erosion removes the majority. From the lower Porter O’Brien benchmark, only a further 2.9 points are required. This dependence on the current poll is a key sensitivity, not a confidence interval.</x:v>
      </x:c>
      <x:c r="D44" s="216" t="str">
        <x:v>Main recency-benchmark boundary: about 8.2 points of adverse L-PC margin erosion removes the majority. From the lower Porter O’Brien benchmark, only a further 2.9 points are required. This dependence on the current poll is a key sensitivity, not a confidence interval.</x:v>
      </x:c>
      <x:c r="E44" s="216" t="str">
        <x:v>Main recency-benchmark boundary: about 8.2 points of adverse L-PC margin erosion removes the majority. From the lower Porter O’Brien benchmark, only a further 2.9 points are required. This dependence on the current poll is a key sensitivity, not a confidence interval.</x:v>
      </x:c>
      <x:c r="F44" s="216" t="str">
        <x:v>Main recency-benchmark boundary: about 8.2 points of adverse L-PC margin erosion removes the majority. From the lower Porter O’Brien benchmark, only a further 2.9 points are required. This dependence on the current poll is a key sensitivity, not a confidence interval.</x:v>
      </x:c>
      <x:c r="G44" s="216" t="str">
        <x:v>Main recency-benchmark boundary: about 8.2 points of adverse L-PC margin erosion removes the majority. From the lower Porter O’Brien benchmark, only a further 2.9 points are required. This dependence on the current poll is a key sensitivity, not a confidence interval.</x:v>
      </x:c>
      <x:c r="H44" s="216" t="str">
        <x:v>Main recency-benchmark boundary: about 8.2 points of adverse L-PC margin erosion removes the majority. From the lower Porter O’Brien benchmark, only a further 2.9 points are required. This dependence on the current poll is a key sensitivity, not a confidence interval.</x:v>
      </x:c>
      <x:c r="I44" s="216" t="str">
        <x:v>Main recency-benchmark boundary: about 8.2 points of adverse L-PC margin erosion removes the majority. From the lower Porter O’Brien benchmark, only a further 2.9 points are required. This dependence on the current poll is a key sensitivity, not a confidence interval.</x:v>
      </x:c>
      <x:c r="J44" s="216" t="str">
        <x:v>Main recency-benchmark boundary: about 8.2 points of adverse L-PC margin erosion removes the majority. From the lower Porter O’Brien benchmark, only a further 2.9 points are required. This dependence on the current poll is a key sensitivity, not a confidence interval.</x:v>
      </x:c>
      <x:c r="K44" s="217" t="str">
        <x:v>Main recency-benchmark boundary: about 8.2 points of adverse L-PC margin erosion removes the majority. From the lower Porter O’Brien benchmark, only a further 2.9 points are required. This dependence on the current poll is a key sensitivity, not a confidence interval.</x:v>
      </x:c>
    </x:row>
  </x:sheetData>
  <x:mergeCells>
    <x:mergeCell ref="A1:J1"/>
    <x:mergeCell ref="A2:J2"/>
    <x:mergeCell ref="A34:I34"/>
    <x:mergeCell ref="A40:K44"/>
  </x:mergeCells>
  <x:pageMargins left="0.7" right="0.7" top="0.75" bottom="0.75" header="0.3" footer="0.3"/>
  <x:drawing xmlns:r="http://schemas.openxmlformats.org/officeDocument/2006/relationships" r:id="R03afa0ce7f4e4d88"/>
</x:worksheet>
</file>

<file path=xl/worksheets/sheet15.xml><?xml version="1.0" encoding="utf-8"?>
<x:worksheet xmlns:x="http://schemas.openxmlformats.org/spreadsheetml/2006/main">
  <x:sheetViews>
    <x:sheetView showGridLines="0" workbookViewId="0"/>
  </x:sheetViews>
  <x:sheetFormatPr defaultRowHeight="15"/>
  <x:cols>
    <x:col min="1" max="1" width="30" hidden="0" customWidth="1"/>
    <x:col min="2" max="2" width="34" hidden="0" customWidth="1"/>
    <x:col min="3" max="3" width="19"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75" hidden="0" customWidth="1"/>
  </x:cols>
  <x:sheetData>
    <x:row r="1" ht="30" customHeight="1">
      <x:c r="A1" s="182" t="str">
        <x:v>Election-held-today scenarios and ecological stress routes</x:v>
      </x:c>
      <x:c r="B1" s="182" t="str">
        <x:v>Election-held-today scenarios and ecological stress routes</x:v>
      </x:c>
      <x:c r="C1" s="182" t="str">
        <x:v>Election-held-today scenarios and ecological stress routes</x:v>
      </x:c>
      <x:c r="D1" s="182" t="str">
        <x:v>Election-held-today scenarios and ecological stress routes</x:v>
      </x:c>
      <x:c r="E1" s="182" t="str">
        <x:v>Election-held-today scenarios and ecological stress routes</x:v>
      </x:c>
      <x:c r="F1" s="182" t="str">
        <x:v>Election-held-today scenarios and ecological stress routes</x:v>
      </x:c>
      <x:c r="G1" s="182" t="str">
        <x:v>Election-held-today scenarios and ecological stress routes</x:v>
      </x:c>
      <x:c r="H1" s="182" t="str">
        <x:v>Election-held-today scenarios and ecological stress routes</x:v>
      </x:c>
      <x:c r="I1" s="182" t="str">
        <x:v>Election-held-today scenarios and ecological stress routes</x:v>
      </x:c>
      <x:c r="J1" s="182" t="str">
        <x:v>Election-held-today scenarios and ecological stress routes</x:v>
      </x:c>
      <x:c r="K1" s="182" t="str">
        <x:v>Election-held-today scenarios and ecological stress routes</x:v>
      </x:c>
    </x:row>
    <x:row r="2" ht="26" customHeight="1">
      <x:c r="A2" s="183" t="str">
        <x:v>Seat scenarios are deterministic. Stress routes show different aggregate mechanisms that can reach the same boundary; they do not estimate actual voter flows.</x:v>
      </x:c>
      <x:c r="B2" s="183" t="str">
        <x:v>Seat scenarios are deterministic. Stress routes show different aggregate mechanisms that can reach the same boundary; they do not estimate actual voter flows.</x:v>
      </x:c>
      <x:c r="C2" s="183" t="str">
        <x:v>Seat scenarios are deterministic. Stress routes show different aggregate mechanisms that can reach the same boundary; they do not estimate actual voter flows.</x:v>
      </x:c>
      <x:c r="D2" s="183" t="str">
        <x:v>Seat scenarios are deterministic. Stress routes show different aggregate mechanisms that can reach the same boundary; they do not estimate actual voter flows.</x:v>
      </x:c>
      <x:c r="E2" s="183" t="str">
        <x:v>Seat scenarios are deterministic. Stress routes show different aggregate mechanisms that can reach the same boundary; they do not estimate actual voter flows.</x:v>
      </x:c>
      <x:c r="F2" s="183" t="str">
        <x:v>Seat scenarios are deterministic. Stress routes show different aggregate mechanisms that can reach the same boundary; they do not estimate actual voter flows.</x:v>
      </x:c>
      <x:c r="G2" s="183" t="str">
        <x:v>Seat scenarios are deterministic. Stress routes show different aggregate mechanisms that can reach the same boundary; they do not estimate actual voter flows.</x:v>
      </x:c>
      <x:c r="H2" s="183" t="str">
        <x:v>Seat scenarios are deterministic. Stress routes show different aggregate mechanisms that can reach the same boundary; they do not estimate actual voter flows.</x:v>
      </x:c>
      <x:c r="I2" s="183" t="str">
        <x:v>Seat scenarios are deterministic. Stress routes show different aggregate mechanisms that can reach the same boundary; they do not estimate actual voter flows.</x:v>
      </x:c>
      <x:c r="J2" s="183" t="str">
        <x:v>Seat scenarios are deterministic. Stress routes show different aggregate mechanisms that can reach the same boundary; they do not estimate actual voter flows.</x:v>
      </x:c>
      <x:c r="K2" s="183" t="str">
        <x:v>Seat scenarios are deterministic. Stress routes show different aggregate mechanisms that can reach the same boundary; they do not estimate actual voter flows.</x:v>
      </x:c>
    </x:row>
    <x:row r="3">
      <x:c r="A3" s="184"/>
      <x:c r="B3" s="184"/>
      <x:c r="C3" s="184"/>
      <x:c r="D3" s="184"/>
      <x:c r="E3" s="184"/>
      <x:c r="F3" s="184"/>
      <x:c r="G3" s="184"/>
      <x:c r="H3" s="184"/>
      <x:c r="I3" s="184"/>
      <x:c r="J3" s="184"/>
      <x:c r="K3" s="184"/>
    </x:row>
    <x:row r="4" ht="30" customHeight="1">
      <x:c r="A4" s="206" t="str">
        <x:v>Scenario</x:v>
      </x:c>
      <x:c r="B4" s="207" t="str">
        <x:v>L</x:v>
      </x:c>
      <x:c r="C4" s="207" t="str">
        <x:v>PC</x:v>
      </x:c>
      <x:c r="D4" s="207" t="str">
        <x:v>G</x:v>
      </x:c>
      <x:c r="E4" s="207" t="str">
        <x:v>Kind</x:v>
      </x:c>
      <x:c r="F4" s="207" t="str">
        <x:v>L seats</x:v>
      </x:c>
      <x:c r="G4" s="207" t="str">
        <x:v>PC seats</x:v>
      </x:c>
      <x:c r="H4" s="207" t="str">
        <x:v>G seats</x:v>
      </x:c>
      <x:c r="I4" s="208" t="str">
        <x:v>Majority</x:v>
      </x:c>
      <x:c r="J4" s="184"/>
      <x:c r="K4" s="184"/>
    </x:row>
    <x:row r="5">
      <x:c r="A5" s="81" t="str">
        <x:v>Porter O'Brien</x:v>
      </x:c>
      <x:c r="B5" s="81" t="n">
        <x:v>43</x:v>
      </x:c>
      <x:c r="C5" s="81" t="n">
        <x:v>39</x:v>
      </x:c>
      <x:c r="D5" s="81" t="n">
        <x:v>13</x:v>
      </x:c>
      <x:c r="E5" s="81" t="str">
        <x:v>poll-specific nowcast</x:v>
      </x:c>
      <x:c r="F5" s="81" t="n">
        <x:v>26</x:v>
      </x:c>
      <x:c r="G5" s="81" t="n">
        <x:v>21</x:v>
      </x:c>
      <x:c r="H5" s="81" t="n">
        <x:v>2</x:v>
      </x:c>
      <x:c r="I5" s="95" t="b">
        <x:v>1</x:v>
      </x:c>
      <x:c r="J5" s="184"/>
      <x:c r="K5" s="184"/>
    </x:row>
    <x:row r="6">
      <x:c r="A6" s="82" t="str">
        <x:v>Narrative derived</x:v>
      </x:c>
      <x:c r="B6" s="82" t="n">
        <x:v>40.57971014492754</x:v>
      </x:c>
      <x:c r="C6" s="82" t="n">
        <x:v>30.434782608695656</x:v>
      </x:c>
      <x:c r="D6" s="82" t="n">
        <x:v>13.043478260869565</x:v>
      </x:c>
      <x:c r="E6" s="82" t="str">
        <x:v>poll-specific nowcast</x:v>
      </x:c>
      <x:c r="F6" s="82" t="n">
        <x:v>30</x:v>
      </x:c>
      <x:c r="G6" s="82" t="n">
        <x:v>17</x:v>
      </x:c>
      <x:c r="H6" s="82" t="n">
        <x:v>2</x:v>
      </x:c>
      <x:c r="I6" s="96" t="b">
        <x:v>1</x:v>
      </x:c>
      <x:c r="J6" s="184"/>
      <x:c r="K6" s="184"/>
    </x:row>
    <x:row r="7">
      <x:c r="A7" s="82" t="str">
        <x:v>Abacus</x:v>
      </x:c>
      <x:c r="B7" s="82" t="n">
        <x:v>45</x:v>
      </x:c>
      <x:c r="C7" s="82" t="n">
        <x:v>31</x:v>
      </x:c>
      <x:c r="D7" s="82" t="n">
        <x:v>14</x:v>
      </x:c>
      <x:c r="E7" s="82" t="str">
        <x:v>poll-specific nowcast</x:v>
      </x:c>
      <x:c r="F7" s="82" t="n">
        <x:v>32</x:v>
      </x:c>
      <x:c r="G7" s="82" t="n">
        <x:v>15</x:v>
      </x:c>
      <x:c r="H7" s="82" t="n">
        <x:v>2</x:v>
      </x:c>
      <x:c r="I7" s="96" t="b">
        <x:v>1</x:v>
      </x:c>
      <x:c r="J7" s="184"/>
      <x:c r="K7" s="184"/>
    </x:row>
    <x:row r="8">
      <x:c r="A8" s="82" t="str">
        <x:v>90-day recency ensemble</x:v>
      </x:c>
      <x:c r="B8" s="82" t="n">
        <x:v>43.1541724958968</x:v>
      </x:c>
      <x:c r="C8" s="82" t="n">
        <x:v>32.964969227287966</x:v>
      </x:c>
      <x:c r="D8" s="82" t="n">
        <x:v>13.449355094858092</x:v>
      </x:c>
      <x:c r="E8" s="82" t="str">
        <x:v>headline nowcast benchmark</x:v>
      </x:c>
      <x:c r="F8" s="82" t="n">
        <x:v>30</x:v>
      </x:c>
      <x:c r="G8" s="82" t="n">
        <x:v>17</x:v>
      </x:c>
      <x:c r="H8" s="82" t="n">
        <x:v>2</x:v>
      </x:c>
      <x:c r="I8" s="96" t="b">
        <x:v>1</x:v>
      </x:c>
      <x:c r="J8" s="184"/>
      <x:c r="K8" s="184"/>
    </x:row>
    <x:row r="9">
      <x:c r="A9" s="82" t="str">
        <x:v>Mild 5-point erosion</x:v>
      </x:c>
      <x:c r="B9" s="82" t="n">
        <x:v>40.6541724958968</x:v>
      </x:c>
      <x:c r="C9" s="82" t="n">
        <x:v>35.464969227287966</x:v>
      </x:c>
      <x:c r="D9" s="82" t="n">
        <x:v>13.449355094858092</x:v>
      </x:c>
      <x:c r="E9" s="82" t="str">
        <x:v>illustrative horizon scenario</x:v>
      </x:c>
      <x:c r="F9" s="82" t="n">
        <x:v>27</x:v>
      </x:c>
      <x:c r="G9" s="82" t="n">
        <x:v>20</x:v>
      </x:c>
      <x:c r="H9" s="82" t="n">
        <x:v>2</x:v>
      </x:c>
      <x:c r="I9" s="96" t="b">
        <x:v>1</x:v>
      </x:c>
      <x:c r="J9" s="184"/>
      <x:c r="K9" s="184"/>
    </x:row>
    <x:row r="10">
      <x:c r="A10" s="82" t="str">
        <x:v>Full-term analogue median</x:v>
      </x:c>
      <x:c r="B10" s="82" t="n">
        <x:v>33.1141724958968</x:v>
      </x:c>
      <x:c r="C10" s="82" t="n">
        <x:v>43.004969227287965</x:v>
      </x:c>
      <x:c r="D10" s="82" t="n">
        <x:v>13.449355094858092</x:v>
      </x:c>
      <x:c r="E10" s="82" t="str">
        <x:v>illustrative, not forecast</x:v>
      </x:c>
      <x:c r="F10" s="82" t="n">
        <x:v>16</x:v>
      </x:c>
      <x:c r="G10" s="82" t="n">
        <x:v>29</x:v>
      </x:c>
      <x:c r="H10" s="82" t="n">
        <x:v>4</x:v>
      </x:c>
      <x:c r="I10" s="96" t="b">
        <x:v>0</x:v>
      </x:c>
      <x:c r="J10" s="184"/>
      <x:c r="K10" s="184"/>
    </x:row>
    <x:row r="11">
      <x:c r="A11" s="82" t="str">
        <x:v>Two-point Liberal lead</x:v>
      </x:c>
      <x:c r="B11" s="82" t="n">
        <x:v>39.059570861592384</x:v>
      </x:c>
      <x:c r="C11" s="82" t="n">
        <x:v>37.059570861592384</x:v>
      </x:c>
      <x:c r="D11" s="82" t="n">
        <x:v>13.449355094858092</x:v>
      </x:c>
      <x:c r="E11" s="82" t="str">
        <x:v>majority-threshold sensitivity, not forecast</x:v>
      </x:c>
      <x:c r="F11" s="82" t="n">
        <x:v>25</x:v>
      </x:c>
      <x:c r="G11" s="82" t="n">
        <x:v>22</x:v>
      </x:c>
      <x:c r="H11" s="82" t="n">
        <x:v>2</x:v>
      </x:c>
      <x:c r="I11" s="96" t="b">
        <x:v>1</x:v>
      </x:c>
      <x:c r="J11" s="184"/>
      <x:c r="K11" s="184"/>
    </x:row>
    <x:row r="12">
      <x:c r="A12" s="83" t="str">
        <x:v>Liberal-PC tie</x:v>
      </x:c>
      <x:c r="B12" s="83" t="n">
        <x:v>38.059570861592384</x:v>
      </x:c>
      <x:c r="C12" s="83" t="n">
        <x:v>38.059570861592384</x:v>
      </x:c>
      <x:c r="D12" s="83" t="n">
        <x:v>13.449355094858092</x:v>
      </x:c>
      <x:c r="E12" s="83" t="str">
        <x:v>tie sensitivity, not forecast</x:v>
      </x:c>
      <x:c r="F12" s="83" t="n">
        <x:v>23</x:v>
      </x:c>
      <x:c r="G12" s="83" t="n">
        <x:v>23</x:v>
      </x:c>
      <x:c r="H12" s="83" t="n">
        <x:v>3</x:v>
      </x:c>
      <x:c r="I12" s="97" t="b">
        <x:v>0</x:v>
      </x:c>
      <x:c r="J12" s="184"/>
      <x:c r="K12" s="184"/>
    </x:row>
    <x:row r="13">
      <x:c r="A13" s="184"/>
      <x:c r="B13" s="184"/>
      <x:c r="C13" s="184"/>
      <x:c r="D13" s="184"/>
      <x:c r="E13" s="184"/>
      <x:c r="F13" s="184"/>
      <x:c r="G13" s="184"/>
      <x:c r="H13" s="184"/>
      <x:c r="I13" s="184"/>
      <x:c r="J13" s="184"/>
      <x:c r="K13" s="184"/>
    </x:row>
    <x:row r="14">
      <x:c r="A14" s="185" t="str">
        <x:v>Boundary stress routes</x:v>
      </x:c>
      <x:c r="B14" s="186"/>
      <x:c r="C14" s="186"/>
      <x:c r="D14" s="186"/>
      <x:c r="E14" s="186"/>
      <x:c r="F14" s="186"/>
      <x:c r="G14" s="186"/>
      <x:c r="H14" s="186"/>
      <x:c r="I14" s="186"/>
      <x:c r="J14" s="186"/>
      <x:c r="K14" s="187"/>
    </x:row>
    <x:row r="15" ht="30" customHeight="1">
      <x:c r="A15" s="206" t="str">
        <x:v>Outcome</x:v>
      </x:c>
      <x:c r="B15" s="207" t="str">
        <x:v>Route</x:v>
      </x:c>
      <x:c r="C15" s="207" t="str">
        <x:v>Movement</x:v>
      </x:c>
      <x:c r="D15" s="207" t="str">
        <x:v>L</x:v>
      </x:c>
      <x:c r="E15" s="207" t="str">
        <x:v>PC</x:v>
      </x:c>
      <x:c r="F15" s="207" t="str">
        <x:v>G</x:v>
      </x:c>
      <x:c r="G15" s="207" t="str">
        <x:v>Other</x:v>
      </x:c>
      <x:c r="H15" s="207" t="str">
        <x:v>L seats</x:v>
      </x:c>
      <x:c r="I15" s="207" t="str">
        <x:v>PC seats</x:v>
      </x:c>
      <x:c r="J15" s="207" t="str">
        <x:v>G seats</x:v>
      </x:c>
      <x:c r="K15" s="208" t="str">
        <x:v>Warning</x:v>
      </x:c>
    </x:row>
    <x:row r="16">
      <x:c r="A16" s="81" t="str">
        <x:v>Loss of Liberal majority</x:v>
      </x:c>
      <x:c r="B16" s="81" t="str">
        <x:v>Direct Liberal-to-PC switch</x:v>
      </x:c>
      <x:c r="C16" s="81" t="n">
        <x:v>4.118</x:v>
      </x:c>
      <x:c r="D16" s="120" t="n">
        <x:v>39.036</x:v>
      </x:c>
      <x:c r="E16" s="120" t="n">
        <x:v>37.083</x:v>
      </x:c>
      <x:c r="F16" s="120" t="n">
        <x:v>13.449</x:v>
      </x:c>
      <x:c r="G16" s="120" t="n">
        <x:v>10.432</x:v>
      </x:c>
      <x:c r="H16" s="81" t="n">
        <x:v>24</x:v>
      </x:c>
      <x:c r="I16" s="81" t="n">
        <x:v>22</x:v>
      </x:c>
      <x:c r="J16" s="81" t="n">
        <x:v>3</x:v>
      </x:c>
      <x:c r="K16" s="81" t="str">
        <x:v>Ecological deterministic scenario. It does not estimate actual individual voter flows or probability.</x:v>
      </x:c>
    </x:row>
    <x:row r="17">
      <x:c r="A17" s="82" t="str">
        <x:v>Loss of Liberal majority</x:v>
      </x:c>
      <x:c r="B17" s="82" t="str">
        <x:v>Liberal turnout withdrawal</x:v>
      </x:c>
      <x:c r="C17" s="82" t="n">
        <x:v>7.251</x:v>
      </x:c>
      <x:c r="D17" s="121" t="n">
        <x:v>38.71</x:v>
      </x:c>
      <x:c r="E17" s="121" t="n">
        <x:v>35.542</x:v>
      </x:c>
      <x:c r="F17" s="121" t="n">
        <x:v>14.501</x:v>
      </x:c>
      <x:c r="G17" s="121" t="n">
        <x:v>11.247</x:v>
      </x:c>
      <x:c r="H17" s="82" t="n">
        <x:v>24</x:v>
      </x:c>
      <x:c r="I17" s="82" t="n">
        <x:v>21</x:v>
      </x:c>
      <x:c r="J17" s="82" t="n">
        <x:v>4</x:v>
      </x:c>
      <x:c r="K17" s="82" t="str">
        <x:v>Ecological deterministic scenario. It does not estimate actual individual voter flows or probability.</x:v>
      </x:c>
    </x:row>
    <x:row r="18">
      <x:c r="A18" s="82" t="str">
        <x:v>Loss of Liberal majority</x:v>
      </x:c>
      <x:c r="B18" s="82" t="str">
        <x:v>PC recruitment from non-voters</x:v>
      </x:c>
      <x:c r="C18" s="82" t="n">
        <x:v>9.072</x:v>
      </x:c>
      <x:c r="D18" s="121" t="n">
        <x:v>39.565</x:v>
      </x:c>
      <x:c r="E18" s="121" t="n">
        <x:v>38.541</x:v>
      </x:c>
      <x:c r="F18" s="121" t="n">
        <x:v>12.331</x:v>
      </x:c>
      <x:c r="G18" s="121" t="n">
        <x:v>9.564</x:v>
      </x:c>
      <x:c r="H18" s="82" t="n">
        <x:v>24</x:v>
      </x:c>
      <x:c r="I18" s="82" t="n">
        <x:v>23</x:v>
      </x:c>
      <x:c r="J18" s="82" t="n">
        <x:v>2</x:v>
      </x:c>
      <x:c r="K18" s="82" t="str">
        <x:v>Ecological deterministic scenario. It does not estimate actual individual voter flows or probability.</x:v>
      </x:c>
    </x:row>
    <x:row r="19">
      <x:c r="A19" s="82" t="str">
        <x:v>Loss of Liberal majority</x:v>
      </x:c>
      <x:c r="B19" s="82" t="str">
        <x:v>Liberal-to-Green switch</x:v>
      </x:c>
      <x:c r="C19" s="82" t="n">
        <x:v>5.681</x:v>
      </x:c>
      <x:c r="D19" s="121" t="n">
        <x:v>37.473</x:v>
      </x:c>
      <x:c r="E19" s="121" t="n">
        <x:v>32.965</x:v>
      </x:c>
      <x:c r="F19" s="121" t="n">
        <x:v>19.13</x:v>
      </x:c>
      <x:c r="G19" s="121" t="n">
        <x:v>10.432</x:v>
      </x:c>
      <x:c r="H19" s="82" t="n">
        <x:v>24</x:v>
      </x:c>
      <x:c r="I19" s="82" t="n">
        <x:v>21</x:v>
      </x:c>
      <x:c r="J19" s="82" t="n">
        <x:v>4</x:v>
      </x:c>
      <x:c r="K19" s="82" t="str">
        <x:v>Ecological deterministic scenario. It does not estimate actual individual voter flows or probability.</x:v>
      </x:c>
    </x:row>
    <x:row r="20">
      <x:c r="A20" s="82" t="str">
        <x:v>PC seat plurality</x:v>
      </x:c>
      <x:c r="B20" s="82" t="str">
        <x:v>Direct Liberal-to-PC switch</x:v>
      </x:c>
      <x:c r="C20" s="82" t="n">
        <x:v>5.685</x:v>
      </x:c>
      <x:c r="D20" s="121" t="n">
        <x:v>37.469</x:v>
      </x:c>
      <x:c r="E20" s="121" t="n">
        <x:v>38.65</x:v>
      </x:c>
      <x:c r="F20" s="121" t="n">
        <x:v>13.449</x:v>
      </x:c>
      <x:c r="G20" s="121" t="n">
        <x:v>10.432</x:v>
      </x:c>
      <x:c r="H20" s="82" t="n">
        <x:v>22</x:v>
      </x:c>
      <x:c r="I20" s="82" t="n">
        <x:v>24</x:v>
      </x:c>
      <x:c r="J20" s="82" t="n">
        <x:v>3</x:v>
      </x:c>
      <x:c r="K20" s="82" t="str">
        <x:v>Ecological deterministic scenario. It does not estimate actual individual voter flows or probability.</x:v>
      </x:c>
    </x:row>
    <x:row r="21">
      <x:c r="A21" s="82" t="str">
        <x:v>PC seat plurality</x:v>
      </x:c>
      <x:c r="B21" s="82" t="str">
        <x:v>Liberal turnout withdrawal</x:v>
      </x:c>
      <x:c r="C21" s="82" t="n">
        <x:v>9.313</x:v>
      </x:c>
      <x:c r="D21" s="121" t="n">
        <x:v>37.316</x:v>
      </x:c>
      <x:c r="E21" s="121" t="n">
        <x:v>36.35</x:v>
      </x:c>
      <x:c r="F21" s="121" t="n">
        <x:v>14.831</x:v>
      </x:c>
      <x:c r="G21" s="121" t="n">
        <x:v>11.503</x:v>
      </x:c>
      <x:c r="H21" s="82" t="n">
        <x:v>22</x:v>
      </x:c>
      <x:c r="I21" s="82" t="n">
        <x:v>23</x:v>
      </x:c>
      <x:c r="J21" s="82" t="n">
        <x:v>4</x:v>
      </x:c>
      <x:c r="K21" s="82" t="str">
        <x:v>Ecological deterministic scenario. It does not estimate actual individual voter flows or probability.</x:v>
      </x:c>
    </x:row>
    <x:row r="22">
      <x:c r="A22" s="82" t="str">
        <x:v>PC seat plurality</x:v>
      </x:c>
      <x:c r="B22" s="82" t="str">
        <x:v>PC recruitment from non-voters</x:v>
      </x:c>
      <x:c r="C22" s="82" t="n">
        <x:v>11.549</x:v>
      </x:c>
      <x:c r="D22" s="121" t="n">
        <x:v>38.686</x:v>
      </x:c>
      <x:c r="E22" s="121" t="n">
        <x:v>39.906</x:v>
      </x:c>
      <x:c r="F22" s="121" t="n">
        <x:v>12.057</x:v>
      </x:c>
      <x:c r="G22" s="121" t="n">
        <x:v>9.351</x:v>
      </x:c>
      <x:c r="H22" s="82" t="n">
        <x:v>23</x:v>
      </x:c>
      <x:c r="I22" s="82" t="n">
        <x:v>24</x:v>
      </x:c>
      <x:c r="J22" s="82" t="n">
        <x:v>2</x:v>
      </x:c>
      <x:c r="K22" s="82" t="str">
        <x:v>Ecological deterministic scenario. It does not estimate actual individual voter flows or probability.</x:v>
      </x:c>
    </x:row>
    <x:row r="23">
      <x:c r="A23" s="83" t="str">
        <x:v>PC seat plurality</x:v>
      </x:c>
      <x:c r="B23" s="83" t="str">
        <x:v>Liberal-to-Green switch</x:v>
      </x:c>
      <x:c r="C23" s="83" t="n">
        <x:v>9.313</x:v>
      </x:c>
      <x:c r="D23" s="122" t="n">
        <x:v>33.841</x:v>
      </x:c>
      <x:c r="E23" s="122" t="n">
        <x:v>32.965</x:v>
      </x:c>
      <x:c r="F23" s="122" t="n">
        <x:v>22.762</x:v>
      </x:c>
      <x:c r="G23" s="122" t="n">
        <x:v>10.432</x:v>
      </x:c>
      <x:c r="H23" s="83" t="n">
        <x:v>21</x:v>
      </x:c>
      <x:c r="I23" s="83" t="n">
        <x:v>22</x:v>
      </x:c>
      <x:c r="J23" s="83" t="n">
        <x:v>6</x:v>
      </x:c>
      <x:c r="K23" s="83" t="str">
        <x:v>Ecological deterministic scenario. It does not estimate actual individual voter flows or probability.</x:v>
      </x:c>
    </x:row>
  </x:sheetData>
  <x:mergeCells>
    <x:mergeCell ref="A1:K1"/>
    <x:mergeCell ref="A2:K2"/>
    <x:mergeCell ref="A14:K14"/>
  </x:mergeCell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30" hidden="0" customWidth="1"/>
    <x:col min="2" max="2" width="16" hidden="0" customWidth="1"/>
    <x:col min="3" max="3" width="65" hidden="0" customWidth="1"/>
    <x:col min="4" max="4" width="48" hidden="0" customWidth="1"/>
    <x:col min="5" max="5" width="52" hidden="0" customWidth="1"/>
    <x:col min="6" max="6" width="52" hidden="0" customWidth="1"/>
    <x:col min="7" max="7" width="52" hidden="0" customWidth="1"/>
    <x:col min="8" max="8" width="54" hidden="0" customWidth="1"/>
    <x:col min="9" max="9" width="20" hidden="0" customWidth="1"/>
  </x:cols>
  <x:sheetData>
    <x:row r="1" ht="30" customHeight="1">
      <x:c r="A1" s="182" t="str">
        <x:v>Conditional paths to retention or defeat</x:v>
      </x:c>
      <x:c r="B1" s="182" t="str">
        <x:v>Conditional paths to retention or defeat</x:v>
      </x:c>
      <x:c r="C1" s="182" t="str">
        <x:v>Conditional paths to retention or defeat</x:v>
      </x:c>
      <x:c r="D1" s="182" t="str">
        <x:v>Conditional paths to retention or defeat</x:v>
      </x:c>
      <x:c r="E1" s="182" t="str">
        <x:v>Conditional paths to retention or defeat</x:v>
      </x:c>
      <x:c r="F1" s="182" t="str">
        <x:v>Conditional paths to retention or defeat</x:v>
      </x:c>
      <x:c r="G1" s="182" t="str">
        <x:v>Conditional paths to retention or defeat</x:v>
      </x:c>
      <x:c r="H1" s="182" t="str">
        <x:v>Conditional paths to retention or defeat</x:v>
      </x:c>
      <x:c r="I1" s="182" t="str">
        <x:v>Conditional paths to retention or defeat</x:v>
      </x:c>
    </x:row>
    <x:row r="2" ht="26" customHeight="1">
      <x:c r="A2" s="183" t="str">
        <x:v>Each route has a required sequence and a prospective disconfirming test. No path is assigned a 2028 probability.</x:v>
      </x:c>
      <x:c r="B2" s="183" t="str">
        <x:v>Each route has a required sequence and a prospective disconfirming test. No path is assigned a 2028 probability.</x:v>
      </x:c>
      <x:c r="C2" s="183" t="str">
        <x:v>Each route has a required sequence and a prospective disconfirming test. No path is assigned a 2028 probability.</x:v>
      </x:c>
      <x:c r="D2" s="183" t="str">
        <x:v>Each route has a required sequence and a prospective disconfirming test. No path is assigned a 2028 probability.</x:v>
      </x:c>
      <x:c r="E2" s="183" t="str">
        <x:v>Each route has a required sequence and a prospective disconfirming test. No path is assigned a 2028 probability.</x:v>
      </x:c>
      <x:c r="F2" s="183" t="str">
        <x:v>Each route has a required sequence and a prospective disconfirming test. No path is assigned a 2028 probability.</x:v>
      </x:c>
      <x:c r="G2" s="183" t="str">
        <x:v>Each route has a required sequence and a prospective disconfirming test. No path is assigned a 2028 probability.</x:v>
      </x:c>
      <x:c r="H2" s="183" t="str">
        <x:v>Each route has a required sequence and a prospective disconfirming test. No path is assigned a 2028 probability.</x:v>
      </x:c>
      <x:c r="I2" s="183" t="str">
        <x:v>Each route has a required sequence and a prospective disconfirming test. No path is assigned a 2028 probability.</x:v>
      </x:c>
    </x:row>
    <x:row r="3">
      <x:c r="A3" s="184"/>
      <x:c r="B3" s="184"/>
      <x:c r="C3" s="184"/>
      <x:c r="D3" s="184"/>
      <x:c r="E3" s="184"/>
      <x:c r="F3" s="184"/>
      <x:c r="G3" s="184"/>
      <x:c r="H3" s="184"/>
      <x:c r="I3" s="184"/>
    </x:row>
    <x:row r="4" ht="30" customHeight="1">
      <x:c r="A4" s="206" t="str">
        <x:v>Path</x:v>
      </x:c>
      <x:c r="B4" s="207" t="str">
        <x:v>Direction</x:v>
      </x:c>
      <x:c r="C4" s="207" t="str">
        <x:v>Required sequence</x:v>
      </x:c>
      <x:c r="D4" s="207" t="str">
        <x:v>Minimum condition</x:v>
      </x:c>
      <x:c r="E4" s="207" t="str">
        <x:v>Earliest indicators</x:v>
      </x:c>
      <x:c r="F4" s="207" t="str">
        <x:v>Evidence for</x:v>
      </x:c>
      <x:c r="G4" s="207" t="str">
        <x:v>Evidence against</x:v>
      </x:c>
      <x:c r="H4" s="207" t="str">
        <x:v>Disconfirming test</x:v>
      </x:c>
      <x:c r="I4" s="208" t="str">
        <x:v>Probability</x:v>
      </x:c>
    </x:row>
    <x:row r="5">
      <x:c r="A5" s="81" t="str">
        <x:v>Broad retention</x:v>
      </x:c>
      <x:c r="B5" s="81" t="str">
        <x:v>Re-election</x:v>
      </x:c>
      <x:c r="C5" s="81" t="str">
        <x:v>Liberal vote stays near low-to-mid 40s; North/South breadth holds; no correlated Saint John/Central breach</x:v>
      </x:c>
      <x:c r="D5" s="81" t="str">
        <x:v>Remain above the benchmark's roughly +2-point L-PC majority boundary</x:v>
      </x:c>
      <x:c r="E5" s="81" t="str">
        <x:v>Two-poll margin; Central and rural-Anglophone cells; 24-seat boundary</x:v>
      </x:c>
      <x:c r="F5" s="81" t="str">
        <x:v>All three current polls lead; recency benchmark 30 seats</x:v>
      </x:c>
      <x:c r="G5" s="81" t="str">
        <x:v>Approval/trust erosion and three ultra-marginal firewall seats</x:v>
      </x:c>
      <x:c r="H5" s="81" t="str">
        <x:v>Consecutive benchmarks at 24 or fewer seats</x:v>
      </x:c>
      <x:c r="I5" s="81" t="str">
        <x:v>NOT ESTIMATED</x:v>
      </x:c>
    </x:row>
    <x:row r="6">
      <x:c r="A6" s="82" t="str">
        <x:v>Delivery and credit conversion</x:v>
      </x:c>
      <x:c r="B6" s="82" t="str">
        <x:v>Re-election</x:v>
      </x:c>
      <x:c r="C6" s="82" t="str">
        <x:v>Health/housing/food outputs become felt; awareness and attribution rise; issue ownership and trust recover</x:v>
      </x:c>
      <x:c r="D6" s="82" t="str">
        <x:v>No vote bonus assigned; require persistent gains in outcome, awareness and issue approval</x:v>
      </x:c>
      <x:c r="E6" s="82" t="str">
        <x:v>Provider attachment; completions; policy attribution experiment; issue handling</x:v>
      </x:c>
      <x:c r="F6" s="82" t="str">
        <x:v>Real outputs and public metrics infrastructure</x:v>
      </x:c>
      <x:c r="G6" s="82" t="str">
        <x:v>Weak issue ratings and seeing-positive-change measure</x:v>
      </x:c>
      <x:c r="H6" s="82" t="str">
        <x:v>High awareness with continued negative evaluation</x:v>
      </x:c>
      <x:c r="I6" s="82" t="str">
        <x:v>NOT ESTIMATED</x:v>
      </x:c>
    </x:row>
    <x:row r="7">
      <x:c r="A7" s="82" t="str">
        <x:v>Competitive shelter</x:v>
      </x:c>
      <x:c r="B7" s="82" t="str">
        <x:v>Re-election</x:v>
      </x:c>
      <x:c r="C7" s="82" t="str">
        <x:v>PC leadership fails to broaden; Green remains concentrated; dissatisfaction does not consolidate</x:v>
      </x:c>
      <x:c r="D7" s="82" t="str">
        <x:v>PC remains near low/mid 30s and below majority-plurality boundary</x:v>
      </x:c>
      <x:c r="E7" s="82" t="str">
        <x:v>PC leader recognition/favourability; opposition approval; candidate quality</x:v>
      </x:c>
      <x:c r="F7" s="82" t="str">
        <x:v>Opposition approval 17%; leadership candidates largely unknown</x:v>
      </x:c>
      <x:c r="G7" s="82" t="str">
        <x:v>Leadership race is a clear reset opportunity</x:v>
      </x:c>
      <x:c r="H7" s="82" t="str">
        <x:v>PC issue ownership and favourability rise across two waves</x:v>
      </x:c>
      <x:c r="I7" s="82" t="str">
        <x:v>NOT ESTIMATED</x:v>
      </x:c>
    </x:row>
    <x:row r="8">
      <x:c r="A8" s="82" t="str">
        <x:v>Direct opposition consolidation</x:v>
      </x:c>
      <x:c r="B8" s="82" t="str">
        <x:v>Defeat</x:v>
      </x:c>
      <x:c r="C8" s="82" t="str">
        <x:v>Recognized PC leader unifies base, gains issue ownership and converts Liberal/undecided voters in firewall regions</x:v>
      </x:c>
      <x:c r="D8" s="82" t="str">
        <x:v>About 4.1 points direct L-to-PC movement removes majority in deterministic model; about 5.7 points yields PC plurality</x:v>
      </x:c>
      <x:c r="E8" s="82" t="str">
        <x:v>Post-leadership margin; Central/South gains; Liberal-PC direct second-choice evidence</x:v>
      </x:c>
      <x:c r="F8" s="82" t="str">
        <x:v>Cost/fiscal ratings weak and regional route exists</x:v>
      </x:c>
      <x:c r="G8" s="82" t="str">
        <x:v>Candidates currently little-known; PC opposition rating weak</x:v>
      </x:c>
      <x:c r="H8" s="82" t="str">
        <x:v>No PC gain six months after leadership under stable field methods</x:v>
      </x:c>
      <x:c r="I8" s="82" t="str">
        <x:v>NOT ESTIMATED</x:v>
      </x:c>
    </x:row>
    <x:row r="9">
      <x:c r="A9" s="82" t="str">
        <x:v>Turnout erosion and regional breach</x:v>
      </x:c>
      <x:c r="B9" s="82" t="str">
        <x:v>Defeat</x:v>
      </x:c>
      <x:c r="C9" s="82" t="str">
        <x:v>Dissatisfied Liberals abstain; Green retains younger/women support; six geographically correlated seats fall</x:v>
      </x:c>
      <x:c r="D9" s="82" t="str">
        <x:v>About 7.3 baseline-vote points of Liberal withdrawal removes majority in deterministic model</x:v>
      </x:c>
      <x:c r="E9" s="82" t="str">
        <x:v>Liberal enthusiasm; turnout intention; Quispamsis/Moncton NW/Hampton/Rothesay/SJ West/Kent North</x:v>
      </x:c>
      <x:c r="F9" s="82" t="str">
        <x:v>Current approval lags vote intention; shallow firewall</x:v>
      </x:c>
      <x:c r="G9" s="82" t="str">
        <x:v>No 2024-vote microdata or enthusiasm series</x:v>
      </x:c>
      <x:c r="H9" s="82" t="str">
        <x:v>Stable Liberal turnout intention and regional polls</x:v>
      </x:c>
      <x:c r="I9" s="82" t="str">
        <x:v>NOT ESTIMATED</x:v>
      </x:c>
    </x:row>
    <x:row r="10">
      <x:c r="A10" s="83" t="str">
        <x:v>Capacity and credibility cascade</x:v>
      </x:c>
      <x:c r="B10" s="83" t="str">
        <x:v>Defeat</x:v>
      </x:c>
      <x:c r="C10" s="83" t="str">
        <x:v>Verified workforce strain causes delays and inconsistent claims; service experience worsens; trust falls; opposition becomes acceptable</x:v>
      </x:c>
      <x:c r="D10" s="83" t="str">
        <x:v>No direct vote coefficient; requires corroborated administrative, service and polling deterioration</x:v>
      </x:c>
      <x:c r="E10" s="83" t="str">
        <x:v>Vacancies, sick leave, acting duration, missed service standards, corrections, trust</x:v>
      </x:c>
      <x:c r="F10" s="83" t="str">
        <x:v>12% plan and bounded function-specific strain</x:v>
      </x:c>
      <x:c r="G10" s="83" t="str">
        <x:v>No representative morale or government-wide deterioration evidence</x:v>
      </x:c>
      <x:c r="H10" s="83" t="str">
        <x:v>Stable services and employee engagement during attrition</x:v>
      </x:c>
      <x:c r="I10" s="83" t="str">
        <x:v>NOT ESTIMATED</x:v>
      </x:c>
    </x:row>
  </x:sheetData>
  <x:mergeCells>
    <x:mergeCell ref="A1:I1"/>
    <x:mergeCell ref="A2:I2"/>
  </x:mergeCells>
  <x:conditionalFormatting sqref="I5:I10">
    <x:cfRule type="expression" dxfId="15" priority="1">
      <x:formula>OR(ISNUMBER(SEARCH("GREEN",I5)),ISNUMBER(SEARCH("SUPPORTED",I5)),ISNUMBER(SEARCH("COMPLETE",I5)))</x:formula>
    </x:cfRule>
    <x:cfRule type="expression" dxfId="16" priority="2">
      <x:formula>OR(ISNUMBER(SEARCH("RED",I5)),ISNUMBER(SEARCH("MISSED",I5)),ISNUMBER(SEARCH("NOT SUPPORTED",I5)))</x:formula>
    </x:cfRule>
  </x:conditionalFormatting>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10" hidden="0" customWidth="1"/>
    <x:col min="2" max="2" width="44" hidden="0" customWidth="1"/>
    <x:col min="3" max="3" width="28" hidden="0" customWidth="1"/>
    <x:col min="4" max="4" width="28" hidden="0" customWidth="1"/>
    <x:col min="5" max="5" width="34" hidden="0" customWidth="1"/>
    <x:col min="6" max="6" width="34" hidden="0" customWidth="1"/>
    <x:col min="7" max="7" width="38" hidden="0" customWidth="1"/>
    <x:col min="8" max="8" width="34" hidden="0" customWidth="1"/>
    <x:col min="9" max="9" width="24" hidden="0" customWidth="1"/>
    <x:col min="10" max="10" width="42" hidden="0" customWidth="1"/>
    <x:col min="11" max="11" width="38" hidden="0" customWidth="1"/>
  </x:cols>
  <x:sheetData>
    <x:row r="1" ht="30" customHeight="1">
      <x:c r="A1" s="182" t="str">
        <x:v>Quarterly mandate early-warning system</x:v>
      </x:c>
      <x:c r="B1" s="182" t="str">
        <x:v>Quarterly mandate early-warning system</x:v>
      </x:c>
      <x:c r="C1" s="182" t="str">
        <x:v>Quarterly mandate early-warning system</x:v>
      </x:c>
      <x:c r="D1" s="182" t="str">
        <x:v>Quarterly mandate early-warning system</x:v>
      </x:c>
      <x:c r="E1" s="182" t="str">
        <x:v>Quarterly mandate early-warning system</x:v>
      </x:c>
      <x:c r="F1" s="182" t="str">
        <x:v>Quarterly mandate early-warning system</x:v>
      </x:c>
      <x:c r="G1" s="182" t="str">
        <x:v>Quarterly mandate early-warning system</x:v>
      </x:c>
      <x:c r="H1" s="182" t="str">
        <x:v>Quarterly mandate early-warning system</x:v>
      </x:c>
      <x:c r="I1" s="182" t="str">
        <x:v>Quarterly mandate early-warning system</x:v>
      </x:c>
      <x:c r="J1" s="182" t="str">
        <x:v>Quarterly mandate early-warning system</x:v>
      </x:c>
      <x:c r="K1" s="182" t="str">
        <x:v>Quarterly mandate early-warning system</x:v>
      </x:c>
    </x:row>
    <x:row r="2" ht="26" customHeight="1">
      <x:c r="A2" s="183" t="str">
        <x:v>Green, amber and red are operational decision rules, not statistical laws. Comparable replication is required before reclassifying the regime.</x:v>
      </x:c>
      <x:c r="B2" s="183" t="str">
        <x:v>Green, amber and red are operational decision rules, not statistical laws. Comparable replication is required before reclassifying the regime.</x:v>
      </x:c>
      <x:c r="C2" s="183" t="str">
        <x:v>Green, amber and red are operational decision rules, not statistical laws. Comparable replication is required before reclassifying the regime.</x:v>
      </x:c>
      <x:c r="D2" s="183" t="str">
        <x:v>Green, amber and red are operational decision rules, not statistical laws. Comparable replication is required before reclassifying the regime.</x:v>
      </x:c>
      <x:c r="E2" s="183" t="str">
        <x:v>Green, amber and red are operational decision rules, not statistical laws. Comparable replication is required before reclassifying the regime.</x:v>
      </x:c>
      <x:c r="F2" s="183" t="str">
        <x:v>Green, amber and red are operational decision rules, not statistical laws. Comparable replication is required before reclassifying the regime.</x:v>
      </x:c>
      <x:c r="G2" s="183" t="str">
        <x:v>Green, amber and red are operational decision rules, not statistical laws. Comparable replication is required before reclassifying the regime.</x:v>
      </x:c>
      <x:c r="H2" s="183" t="str">
        <x:v>Green, amber and red are operational decision rules, not statistical laws. Comparable replication is required before reclassifying the regime.</x:v>
      </x:c>
      <x:c r="I2" s="183" t="str">
        <x:v>Green, amber and red are operational decision rules, not statistical laws. Comparable replication is required before reclassifying the regime.</x:v>
      </x:c>
      <x:c r="J2" s="183" t="str">
        <x:v>Green, amber and red are operational decision rules, not statistical laws. Comparable replication is required before reclassifying the regime.</x:v>
      </x:c>
      <x:c r="K2" s="183" t="str">
        <x:v>Green, amber and red are operational decision rules, not statistical laws. Comparable replication is required before reclassifying the regime.</x:v>
      </x:c>
    </x:row>
    <x:row r="3">
      <x:c r="A3" s="184"/>
      <x:c r="B3" s="184"/>
      <x:c r="C3" s="184"/>
      <x:c r="D3" s="184"/>
      <x:c r="E3" s="184"/>
      <x:c r="F3" s="184"/>
      <x:c r="G3" s="184"/>
      <x:c r="H3" s="184"/>
      <x:c r="I3" s="184"/>
      <x:c r="J3" s="184"/>
      <x:c r="K3" s="184"/>
    </x:row>
    <x:row r="4" ht="30" customHeight="1">
      <x:c r="A4" s="206" t="str">
        <x:v>ID</x:v>
      </x:c>
      <x:c r="B4" s="207" t="str">
        <x:v>Indicator</x:v>
      </x:c>
      <x:c r="C4" s="207" t="str">
        <x:v>Type</x:v>
      </x:c>
      <x:c r="D4" s="207" t="str">
        <x:v>Cadence</x:v>
      </x:c>
      <x:c r="E4" s="207" t="str">
        <x:v>Green</x:v>
      </x:c>
      <x:c r="F4" s="207" t="str">
        <x:v>Amber</x:v>
      </x:c>
      <x:c r="G4" s="207" t="str">
        <x:v>Red</x:v>
      </x:c>
      <x:c r="H4" s="207" t="str">
        <x:v>Current</x:v>
      </x:c>
      <x:c r="I4" s="207" t="str">
        <x:v>Status</x:v>
      </x:c>
      <x:c r="J4" s="207" t="str">
        <x:v>Why it matters</x:v>
      </x:c>
      <x:c r="K4" s="208" t="str">
        <x:v>Source</x:v>
      </x:c>
    </x:row>
    <x:row r="5">
      <x:c r="A5" s="81" t="str">
        <x:v>W01</x:v>
      </x:c>
      <x:c r="B5" s="81" t="str">
        <x:v>Two-poll Liberal-PC margin</x:v>
      </x:c>
      <x:c r="C5" s="81" t="str">
        <x:v>Lagging political</x:v>
      </x:c>
      <x:c r="D5" s="81" t="str">
        <x:v>After each poll / quarterly</x:v>
      </x:c>
      <x:c r="E5" s="81" t="str">
        <x:v>&gt;=10 points</x:v>
      </x:c>
      <x:c r="F5" s="81" t="str">
        <x:v>5 to &lt;10</x:v>
      </x:c>
      <x:c r="G5" s="81" t="str">
        <x:v>&lt;5 in two independent polls within 90 days</x:v>
      </x:c>
      <x:c r="H5" s="81" t="n">
        <x:v>10.189</x:v>
      </x:c>
      <x:c r="I5" s="81" t="str">
        <x:v>GREEN-EDGE</x:v>
      </x:c>
      <x:c r="J5" s="81" t="str">
        <x:v>Direct measure of political shelter</x:v>
      </x:c>
      <x:c r="K5" s="81" t="str">
        <x:v>Original poll releases</x:v>
      </x:c>
    </x:row>
    <x:row r="6">
      <x:c r="A6" s="82" t="str">
        <x:v>W02</x:v>
      </x:c>
      <x:c r="B6" s="82" t="str">
        <x:v>Election-held-today Liberal seats</x:v>
      </x:c>
      <x:c r="C6" s="82" t="str">
        <x:v>Lagging electoral</x:v>
      </x:c>
      <x:c r="D6" s="82" t="str">
        <x:v>After each poll</x:v>
      </x:c>
      <x:c r="E6" s="82" t="str">
        <x:v>&gt;=27</x:v>
      </x:c>
      <x:c r="F6" s="82" t="str">
        <x:v>25-26</x:v>
      </x:c>
      <x:c r="G6" s="82" t="str">
        <x:v>&lt;=24 in consecutive updates</x:v>
      </x:c>
      <x:c r="H6" s="82" t="n">
        <x:v>30</x:v>
      </x:c>
      <x:c r="I6" s="82" t="str">
        <x:v>GREEN</x:v>
      </x:c>
      <x:c r="J6" s="82" t="str">
        <x:v>Government-formation boundary</x:v>
      </x:c>
      <x:c r="K6" s="82" t="str">
        <x:v>Riding model</x:v>
      </x:c>
    </x:row>
    <x:row r="7">
      <x:c r="A7" s="82" t="str">
        <x:v>W03</x:v>
      </x:c>
      <x:c r="B7" s="82" t="str">
        <x:v>Government handling approval / disapproval</x:v>
      </x:c>
      <x:c r="C7" s="82" t="str">
        <x:v>Coincident legitimacy</x:v>
      </x:c>
      <x:c r="D7" s="82" t="str">
        <x:v>Quarterly, same wording/mode</x:v>
      </x:c>
      <x:c r="E7" s="82" t="str">
        <x:v>&gt;=40 approval and net positive</x:v>
      </x:c>
      <x:c r="F7" s="82" t="str">
        <x:v>30-39 or near even</x:v>
      </x:c>
      <x:c r="G7" s="82" t="str">
        <x:v>&lt;30 approval and &gt;50 disapproval in comparable waves</x:v>
      </x:c>
      <x:c r="H7" s="82" t="str">
        <x:v>32 / 37</x:v>
      </x:c>
      <x:c r="I7" s="82" t="str">
        <x:v>AMBER</x:v>
      </x:c>
      <x:c r="J7" s="82" t="str">
        <x:v>Separates vote shelter from performance legitimacy</x:v>
      </x:c>
      <x:c r="K7" s="82" t="str">
        <x:v>Abacus; comparable repeat required</x:v>
      </x:c>
    </x:row>
    <x:row r="8">
      <x:c r="A8" s="82" t="str">
        <x:v>W04</x:v>
      </x:c>
      <x:c r="B8" s="82" t="str">
        <x:v>Holt approval or favourability</x:v>
      </x:c>
      <x:c r="C8" s="82" t="str">
        <x:v>Coincident leader</x:v>
      </x:c>
      <x:c r="D8" s="82" t="str">
        <x:v>Quarterly by same series</x:v>
      </x:c>
      <x:c r="E8" s="82" t="str">
        <x:v>Net positive and stable</x:v>
      </x:c>
      <x:c r="F8" s="82" t="str">
        <x:v>Near even</x:v>
      </x:c>
      <x:c r="G8" s="82" t="str">
        <x:v>Approval &lt;45 and net negative in two comparable waves</x:v>
      </x:c>
      <x:c r="H8" s="82" t="str">
        <x:v>Abacus favourability 35/32; Angus approval 41/49</x:v>
      </x:c>
      <x:c r="I8" s="82" t="str">
        <x:v>AMBER-RED</x:v>
      </x:c>
      <x:c r="J8" s="82" t="str">
        <x:v>Leader trust and persuasion capacity</x:v>
      </x:c>
      <x:c r="K8" s="82" t="str">
        <x:v>Abacus and Angus kept separate</x:v>
      </x:c>
    </x:row>
    <x:row r="9">
      <x:c r="A9" s="82" t="str">
        <x:v>W05</x:v>
      </x:c>
      <x:c r="B9" s="82" t="str">
        <x:v>Positive change / trust / issue handling</x:v>
      </x:c>
      <x:c r="C9" s="82" t="str">
        <x:v>Coincident conversion</x:v>
      </x:c>
      <x:c r="D9" s="82" t="str">
        <x:v>Quarterly</x:v>
      </x:c>
      <x:c r="E9" s="82" t="str">
        <x:v>Sustained +5 point improvement</x:v>
      </x:c>
      <x:c r="F9" s="82" t="str">
        <x:v>Flat</x:v>
      </x:c>
      <x:c r="G9" s="82" t="str">
        <x:v>Further decline across two waves</x:v>
      </x:c>
      <x:c r="H9" s="82" t="str">
        <x:v>Positive change 32; trust 33; priority handling 25-29</x:v>
      </x:c>
      <x:c r="I9" s="82" t="str">
        <x:v>AMBER</x:v>
      </x:c>
      <x:c r="J9" s="82" t="str">
        <x:v>Tracks the evaluation gap; linked survey modules must identify the mechanism</x:v>
      </x:c>
      <x:c r="K9" s="82" t="str">
        <x:v>Abacus</x:v>
      </x:c>
    </x:row>
    <x:row r="10">
      <x:c r="A10" s="82" t="str">
        <x:v>W06</x:v>
      </x:c>
      <x:c r="B10" s="82" t="str">
        <x:v>Permanent primary-care provider</x:v>
      </x:c>
      <x:c r="C10" s="82" t="str">
        <x:v>Lagging outcome</x:v>
      </x:c>
      <x:c r="D10" s="82" t="str">
        <x:v>Annual plus administrative attachment</x:v>
      </x:c>
      <x:c r="E10" s="82" t="str">
        <x:v>Persistent improvement toward 81</x:v>
      </x:c>
      <x:c r="F10" s="82" t="str">
        <x:v>Flat</x:v>
      </x:c>
      <x:c r="G10" s="82" t="str">
        <x:v>Further decline</x:v>
      </x:c>
      <x:c r="H10" s="82" t="n">
        <x:v>73</x:v>
      </x:c>
      <x:c r="I10" s="82" t="str">
        <x:v>RED</x:v>
      </x:c>
      <x:c r="J10" s="82" t="str">
        <x:v>Number-one substantive priority</x:v>
      </x:c>
      <x:c r="K10" s="82" t="str">
        <x:v>NBHC</x:v>
      </x:c>
    </x:row>
    <x:row r="11">
      <x:c r="A11" s="82" t="str">
        <x:v>W07</x:v>
      </x:c>
      <x:c r="B11" s="82" t="str">
        <x:v>Housing completions, affordable completions and rents</x:v>
      </x:c>
      <x:c r="C11" s="82" t="str">
        <x:v>Coincident/lagging outcome</x:v>
      </x:c>
      <x:c r="D11" s="82" t="str">
        <x:v>Quarterly</x:v>
      </x:c>
      <x:c r="E11" s="82" t="str">
        <x:v>Completions rise and rent pressure eases</x:v>
      </x:c>
      <x:c r="F11" s="82" t="str">
        <x:v>Starts only</x:v>
      </x:c>
      <x:c r="G11" s="82" t="str">
        <x:v>Starts/completions weaken and rents accelerate</x:v>
      </x:c>
      <x:c r="H11" s="82" t="str">
        <x:v>Starts strong; completions/rent effect not audited</x:v>
      </x:c>
      <x:c r="I11" s="82" t="str">
        <x:v>AMBER</x:v>
      </x:c>
      <x:c r="J11" s="82" t="str">
        <x:v>Tests whether starts become lived supply</x:v>
      </x:c>
      <x:c r="K11" s="82" t="str">
        <x:v>CMHC / Housing NB</x:v>
      </x:c>
    </x:row>
    <x:row r="12">
      <x:c r="A12" s="82" t="str">
        <x:v>W08</x:v>
      </x:c>
      <x:c r="B12" s="82" t="str">
        <x:v>School food reach and repeat use</x:v>
      </x:c>
      <x:c r="C12" s="82" t="str">
        <x:v>Coincident reach</x:v>
      </x:c>
      <x:c r="D12" s="82" t="str">
        <x:v>Monthly/term</x:v>
      </x:c>
      <x:c r="E12" s="82" t="str">
        <x:v>&gt;=70% school participation with stable uptake</x:v>
      </x:c>
      <x:c r="F12" s="82" t="str">
        <x:v>Launch without denominator</x:v>
      </x:c>
      <x:c r="G12" s="82" t="str">
        <x:v>Material access or supplier failure</x:v>
      </x:c>
      <x:c r="H12" s="82" t="str">
        <x:v>Breakfast universal; lunch pre-launch</x:v>
      </x:c>
      <x:c r="I12" s="82" t="str">
        <x:v>AMBER</x:v>
      </x:c>
      <x:c r="J12" s="82" t="str">
        <x:v>Short-lag flagship capable of visible credit</x:v>
      </x:c>
      <x:c r="K12" s="82" t="str">
        <x:v>EECD / Feed NB</x:v>
      </x:c>
    </x:row>
    <x:row r="13">
      <x:c r="A13" s="82" t="str">
        <x:v>W09</x:v>
      </x:c>
      <x:c r="B13" s="82" t="str">
        <x:v>Fiscal forecast error and balance path</x:v>
      </x:c>
      <x:c r="C13" s="82" t="str">
        <x:v>Leading credibility</x:v>
      </x:c>
      <x:c r="D13" s="82" t="str">
        <x:v>Quarterly</x:v>
      </x:c>
      <x:c r="E13" s="82" t="str">
        <x:v>Deficit narrows with credible service safeguards</x:v>
      </x:c>
      <x:c r="F13" s="82" t="str">
        <x:v>Near plan</x:v>
      </x:c>
      <x:c r="G13" s="82" t="str">
        <x:v>Further material deterioration or unexplained supplementary spending</x:v>
      </x:c>
      <x:c r="H13" s="82" t="str">
        <x:v>$1.33b projected 2025-26; $1.39b budgeted 2026-27</x:v>
      </x:c>
      <x:c r="I13" s="82" t="str">
        <x:v>RED</x:v>
      </x:c>
      <x:c r="J13" s="82" t="str">
        <x:v>Direct promise and trust test</x:v>
      </x:c>
      <x:c r="K13" s="82" t="str">
        <x:v>Finance and Treasury Board</x:v>
      </x:c>
    </x:row>
    <x:row r="14">
      <x:c r="A14" s="82" t="str">
        <x:v>W10</x:v>
      </x:c>
      <x:c r="B14" s="82" t="str">
        <x:v>Part I workforce and service-capacity pulse</x:v>
      </x:c>
      <x:c r="C14" s="82" t="str">
        <x:v>Leading administrative</x:v>
      </x:c>
      <x:c r="D14" s="82" t="str">
        <x:v>Quarterly</x:v>
      </x:c>
      <x:c r="E14" s="82" t="str">
        <x:v>Planned attrition with stable workloads/services</x:v>
      </x:c>
      <x:c r="F14" s="82" t="str">
        <x:v>Vacancies/acting roles rise</x:v>
      </x:c>
      <x:c r="G14" s="82" t="str">
        <x:v>Cross-department service deterioration plus poor engagement</x:v>
      </x:c>
      <x:c r="H14" s="82" t="str">
        <x:v>No public series</x:v>
      </x:c>
      <x:c r="I14" s="82" t="str">
        <x:v>GREY</x:v>
      </x:c>
      <x:c r="J14" s="82" t="str">
        <x:v>Tests private reports without treating anecdotes as data</x:v>
      </x:c>
      <x:c r="K14" s="82" t="str">
        <x:v>RTIPPA / independent survey</x:v>
      </x:c>
    </x:row>
    <x:row r="15">
      <x:c r="A15" s="82" t="str">
        <x:v>W11</x:v>
      </x:c>
      <x:c r="B15" s="82" t="str">
        <x:v>PC leader recognition, favourability and issue ownership</x:v>
      </x:c>
      <x:c r="C15" s="82" t="str">
        <x:v>Leading opposition</x:v>
      </x:c>
      <x:c r="D15" s="82" t="str">
        <x:v>Quarterly after leadership</x:v>
      </x:c>
      <x:c r="E15" s="82" t="str">
        <x:v>Low recognition/no broadening</x:v>
      </x:c>
      <x:c r="F15" s="82" t="str">
        <x:v>Recognition rises</x:v>
      </x:c>
      <x:c r="G15" s="82" t="str">
        <x:v>Positive net plus issue gains and regional broadening</x:v>
      </x:c>
      <x:c r="H15" s="82" t="str">
        <x:v>About half cannot rate candidates</x:v>
      </x:c>
      <x:c r="I15" s="82" t="str">
        <x:v>GREEN FOR LIBERALS / UNSTABLE</x:v>
      </x:c>
      <x:c r="J15" s="82" t="str">
        <x:v>Measures whether shelter persists</x:v>
      </x:c>
      <x:c r="K15" s="82" t="str">
        <x:v>Original polls</x:v>
      </x:c>
    </x:row>
    <x:row r="16">
      <x:c r="A16" s="83" t="str">
        <x:v>W12</x:v>
      </x:c>
      <x:c r="B16" s="83" t="str">
        <x:v>Regional firewall replication</x:v>
      </x:c>
      <x:c r="C16" s="83" t="str">
        <x:v>Leading electoral</x:v>
      </x:c>
      <x:c r="D16" s="83" t="str">
        <x:v>Every pooled 2-3 polls / by-election</x:v>
      </x:c>
      <x:c r="E16" s="83" t="str">
        <x:v>No replicated erosion</x:v>
      </x:c>
      <x:c r="F16" s="83" t="str">
        <x:v>One weak cell</x:v>
      </x:c>
      <x:c r="G16" s="83" t="str">
        <x:v>Replicated Saint John/Central/rural-Anglophone erosion</x:v>
      </x:c>
      <x:c r="H16" s="83" t="str">
        <x:v>Central/rural-Anglophone weak</x:v>
      </x:c>
      <x:c r="I16" s="83" t="str">
        <x:v>AMBER</x:v>
      </x:c>
      <x:c r="J16" s="83" t="str">
        <x:v>Province-wide lead can hide governing-seat loss</x:v>
      </x:c>
      <x:c r="K16" s="83" t="str">
        <x:v>Pooled polls / by-elections</x:v>
      </x:c>
    </x:row>
    <x:row r="17">
      <x:c r="A17" s="184"/>
      <x:c r="B17" s="184"/>
      <x:c r="C17" s="184"/>
      <x:c r="D17" s="184"/>
      <x:c r="E17" s="184"/>
      <x:c r="F17" s="184"/>
      <x:c r="G17" s="184"/>
      <x:c r="H17" s="184"/>
      <x:c r="I17" s="184"/>
      <x:c r="J17" s="184"/>
      <x:c r="K17" s="184"/>
    </x:row>
    <x:row r="18">
      <x:c r="A18" s="184"/>
      <x:c r="B18" s="184"/>
      <x:c r="C18" s="184"/>
      <x:c r="D18" s="184"/>
      <x:c r="E18" s="184"/>
      <x:c r="F18" s="184"/>
      <x:c r="G18" s="184"/>
      <x:c r="H18" s="184"/>
      <x:c r="I18" s="184"/>
      <x:c r="J18" s="184"/>
      <x:c r="K18" s="184"/>
    </x:row>
    <x:row r="19">
      <x:c r="A19" s="184"/>
      <x:c r="B19" s="184"/>
      <x:c r="C19" s="184"/>
      <x:c r="D19" s="184"/>
      <x:c r="E19" s="184"/>
      <x:c r="F19" s="184"/>
      <x:c r="G19" s="184"/>
      <x:c r="H19" s="184"/>
      <x:c r="I19" s="184"/>
      <x:c r="J19" s="184"/>
      <x:c r="K19" s="184"/>
    </x:row>
    <x:row r="20" ht="30" customHeight="1">
      <x:c r="A20" s="206" t="str">
        <x:v>Rank</x:v>
      </x:c>
      <x:c r="B20" s="207" t="str">
        <x:v>Observation</x:v>
      </x:c>
      <x:c r="C20" s="207" t="str">
        <x:v>Uncertainty reduced</x:v>
      </x:c>
      <x:c r="D20" s="208" t="str">
        <x:v>Decision effect</x:v>
      </x:c>
      <x:c r="E20" s="184"/>
      <x:c r="F20" s="184"/>
      <x:c r="G20" s="184"/>
      <x:c r="H20" s="184"/>
      <x:c r="I20" s="184"/>
      <x:c r="J20" s="184"/>
      <x:c r="K20" s="184"/>
    </x:row>
    <x:row r="21">
      <x:c r="A21" s="78" t="n">
        <x:v>1</x:v>
      </x:c>
      <x:c r="B21" s="81" t="str">
        <x:v>First two method-comparable polls after the PC leader is selected</x:v>
      </x:c>
      <x:c r="C21" s="81" t="str">
        <x:v>Opposition shelter versus genuine Liberal breadth</x:v>
      </x:c>
      <x:c r="D21" s="81" t="str">
        <x:v>Reclassifies soft advantage toward durable advantage or competitive reset</x:v>
      </x:c>
      <x:c r="E21" s="184"/>
      <x:c r="F21" s="184"/>
      <x:c r="G21" s="184"/>
      <x:c r="H21" s="184"/>
      <x:c r="I21" s="184"/>
      <x:c r="J21" s="184"/>
      <x:c r="K21" s="184"/>
    </x:row>
    <x:row r="22">
      <x:c r="A22" s="79" t="n">
        <x:v>2</x:v>
      </x:c>
      <x:c r="B22" s="82" t="str">
        <x:v>Representative bilingual public survey linking policy awareness, attribution, lived experience, adequacy and vote</x:v>
      </x:c>
      <x:c r="C22" s="82" t="str">
        <x:v>Communications versus policy adequacy</x:v>
      </x:c>
      <x:c r="D22" s="82" t="str">
        <x:v>Confirms or rejects the credit-conversion diagnosis</x:v>
      </x:c>
      <x:c r="E22" s="184"/>
      <x:c r="F22" s="184"/>
      <x:c r="G22" s="184"/>
      <x:c r="H22" s="184"/>
      <x:c r="I22" s="184"/>
      <x:c r="J22" s="184"/>
      <x:c r="K22" s="184"/>
    </x:row>
    <x:row r="23">
      <x:c r="A23" s="79" t="n">
        <x:v>3</x:v>
      </x:c>
      <x:c r="B23" s="82" t="str">
        <x:v>Quarterly department-level Part I workforce, vacancy, acting, sick-leave, overtime and service-standard series</x:v>
      </x:c>
      <x:c r="C23" s="82" t="str">
        <x:v>Civil-service strain and capacity pathway</x:v>
      </x:c>
      <x:c r="D23" s="82" t="str">
        <x:v>Moves administrative health from unobserved to measurable</x:v>
      </x:c>
      <x:c r="E23" s="184"/>
      <x:c r="F23" s="184"/>
      <x:c r="G23" s="184"/>
      <x:c r="H23" s="184"/>
      <x:c r="I23" s="184"/>
      <x:c r="J23" s="184"/>
      <x:c r="K23" s="184"/>
    </x:row>
    <x:row r="24">
      <x:c r="A24" s="79" t="n">
        <x:v>4</x:v>
      </x:c>
      <x:c r="B24" s="82" t="str">
        <x:v>2026 primary-care attachment/timely-access data aligned with clinic operational dates and unique attachments</x:v>
      </x:c>
      <x:c r="C24" s="82" t="str">
        <x:v>Whether clinic outputs improve population access</x:v>
      </x:c>
      <x:c r="D24" s="82" t="str">
        <x:v>Changes flagship effectiveness assessment</x:v>
      </x:c>
      <x:c r="E24" s="184"/>
      <x:c r="F24" s="184"/>
      <x:c r="G24" s="184"/>
      <x:c r="H24" s="184"/>
      <x:c r="I24" s="184"/>
      <x:c r="J24" s="184"/>
      <x:c r="K24" s="184"/>
    </x:row>
    <x:row r="25">
      <x:c r="A25" s="80" t="n">
        <x:v>5</x:v>
      </x:c>
      <x:c r="B25" s="83" t="str">
        <x:v>Housing completions/rents and school-lunch participation after implementation</x:v>
      </x:c>
      <x:c r="C25" s="83" t="str">
        <x:v>Whether visible flagships reach residents at meaningful scale</x:v>
      </x:c>
      <x:c r="D25" s="83" t="str">
        <x:v>Tests delivery-to-experience conversion</x:v>
      </x:c>
      <x:c r="E25" s="184"/>
      <x:c r="F25" s="184"/>
      <x:c r="G25" s="184"/>
      <x:c r="H25" s="184"/>
      <x:c r="I25" s="184"/>
      <x:c r="J25" s="184"/>
      <x:c r="K25" s="184"/>
    </x:row>
  </x:sheetData>
  <x:mergeCells>
    <x:mergeCell ref="A1:K1"/>
    <x:mergeCell ref="A2:K2"/>
  </x:mergeCells>
  <x:conditionalFormatting sqref="I5:I16">
    <x:cfRule type="expression" dxfId="17" priority="1">
      <x:formula>OR(ISNUMBER(SEARCH("GREEN",I5)),ISNUMBER(SEARCH("SUPPORTED",I5)),ISNUMBER(SEARCH("COMPLETE",I5)))</x:formula>
    </x:cfRule>
    <x:cfRule type="expression" dxfId="18" priority="2">
      <x:formula>OR(ISNUMBER(SEARCH("RED",I5)),ISNUMBER(SEARCH("MISSED",I5)),ISNUMBER(SEARCH("NOT SUPPORTED",I5)))</x:formula>
    </x:cfRule>
  </x:conditionalFormatting>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RowHeight="15"/>
  <x:cols>
    <x:col min="1" max="1" width="15" hidden="0" customWidth="1"/>
    <x:col min="2" max="2" width="52" hidden="0" customWidth="1"/>
    <x:col min="3" max="3" width="34" hidden="0" customWidth="1"/>
    <x:col min="4" max="4" width="42" hidden="0" customWidth="1"/>
    <x:col min="5" max="5" width="78" hidden="0" customWidth="1"/>
    <x:col min="6" max="6" width="30" hidden="0" customWidth="1"/>
    <x:col min="7" max="7" width="56" hidden="0" customWidth="1"/>
    <x:col min="8" max="8" width="56" hidden="0" customWidth="1"/>
    <x:col min="9" max="9" width="14" hidden="0" customWidth="1"/>
    <x:col min="10" max="10" width="14" hidden="0" customWidth="1"/>
  </x:cols>
  <x:sheetData>
    <x:row r="1" ht="30" customHeight="1">
      <x:c r="A1" s="182" t="str">
        <x:v>Phase-two measurement programme</x:v>
      </x:c>
      <x:c r="B1" s="182" t="str">
        <x:v>Phase-two measurement programme</x:v>
      </x:c>
      <x:c r="C1" s="182" t="str">
        <x:v>Phase-two measurement programme</x:v>
      </x:c>
      <x:c r="D1" s="182" t="str">
        <x:v>Phase-two measurement programme</x:v>
      </x:c>
      <x:c r="E1" s="182" t="str">
        <x:v>Phase-two measurement programme</x:v>
      </x:c>
      <x:c r="F1" s="182" t="str">
        <x:v>Phase-two measurement programme</x:v>
      </x:c>
      <x:c r="G1" s="182" t="str">
        <x:v>Phase-two measurement programme</x:v>
      </x:c>
      <x:c r="H1" s="182" t="str">
        <x:v>Phase-two measurement programme</x:v>
      </x:c>
      <x:c r="I1" s="182" t="str">
        <x:v>Phase-two measurement programme</x:v>
      </x:c>
      <x:c r="J1" s="182" t="str">
        <x:v>Phase-two measurement programme</x:v>
      </x:c>
    </x:row>
    <x:row r="2" ht="26" customHeight="1">
      <x:c r="A2" s="183" t="str">
        <x:v>RTIPPA requests, public and employee surveys, and critical-incident interviews are designed to resolve the largest current uncertainties without soliciting protected information.</x:v>
      </x:c>
      <x:c r="B2" s="183" t="str">
        <x:v>RTIPPA requests, public and employee surveys, and critical-incident interviews are designed to resolve the largest current uncertainties without soliciting protected information.</x:v>
      </x:c>
      <x:c r="C2" s="183" t="str">
        <x:v>RTIPPA requests, public and employee surveys, and critical-incident interviews are designed to resolve the largest current uncertainties without soliciting protected information.</x:v>
      </x:c>
      <x:c r="D2" s="183" t="str">
        <x:v>RTIPPA requests, public and employee surveys, and critical-incident interviews are designed to resolve the largest current uncertainties without soliciting protected information.</x:v>
      </x:c>
      <x:c r="E2" s="183" t="str">
        <x:v>RTIPPA requests, public and employee surveys, and critical-incident interviews are designed to resolve the largest current uncertainties without soliciting protected information.</x:v>
      </x:c>
      <x:c r="F2" s="183" t="str">
        <x:v>RTIPPA requests, public and employee surveys, and critical-incident interviews are designed to resolve the largest current uncertainties without soliciting protected information.</x:v>
      </x:c>
      <x:c r="G2" s="183" t="str">
        <x:v>RTIPPA requests, public and employee surveys, and critical-incident interviews are designed to resolve the largest current uncertainties without soliciting protected information.</x:v>
      </x:c>
      <x:c r="H2" s="183" t="str">
        <x:v>RTIPPA requests, public and employee surveys, and critical-incident interviews are designed to resolve the largest current uncertainties without soliciting protected information.</x:v>
      </x:c>
      <x:c r="I2" s="183" t="str">
        <x:v>RTIPPA requests, public and employee surveys, and critical-incident interviews are designed to resolve the largest current uncertainties without soliciting protected information.</x:v>
      </x:c>
      <x:c r="J2" s="183" t="str">
        <x:v>RTIPPA requests, public and employee surveys, and critical-incident interviews are designed to resolve the largest current uncertainties without soliciting protected information.</x:v>
      </x:c>
    </x:row>
    <x:row r="3">
      <x:c r="A3" s="184"/>
      <x:c r="B3" s="184"/>
      <x:c r="C3" s="184"/>
      <x:c r="D3" s="184"/>
      <x:c r="E3" s="184"/>
      <x:c r="F3" s="184"/>
      <x:c r="G3" s="184"/>
      <x:c r="H3" s="184"/>
      <x:c r="I3" s="184"/>
      <x:c r="J3" s="184"/>
    </x:row>
    <x:row r="4">
      <x:c r="A4" s="185" t="str">
        <x:v>Targeted information requests</x:v>
      </x:c>
      <x:c r="B4" s="186"/>
      <x:c r="C4" s="186"/>
      <x:c r="D4" s="186"/>
      <x:c r="E4" s="186"/>
      <x:c r="F4" s="186"/>
      <x:c r="G4" s="186"/>
      <x:c r="H4" s="186"/>
      <x:c r="I4" s="186"/>
      <x:c r="J4" s="187"/>
    </x:row>
    <x:row r="5" ht="30" customHeight="1">
      <x:c r="A5" s="206" t="str">
        <x:v>Priority</x:v>
      </x:c>
      <x:c r="B5" s="207" t="str">
        <x:v>Request</x:v>
      </x:c>
      <x:c r="C5" s="207" t="str">
        <x:v>Date range</x:v>
      </x:c>
      <x:c r="D5" s="207" t="str">
        <x:v>Custodian</x:v>
      </x:c>
      <x:c r="E5" s="207" t="str">
        <x:v>Variables</x:v>
      </x:c>
      <x:c r="F5" s="207" t="str">
        <x:v>Format</x:v>
      </x:c>
      <x:c r="G5" s="207" t="str">
        <x:v>Exclusions</x:v>
      </x:c>
      <x:c r="H5" s="208" t="str">
        <x:v>Purpose</x:v>
      </x:c>
      <x:c r="I5" s="184"/>
      <x:c r="J5" s="184"/>
    </x:row>
    <x:row r="6">
      <x:c r="A6" s="81" t="n">
        <x:v>1</x:v>
      </x:c>
      <x:c r="B6" s="81" t="str">
        <x:v>Collaborative-care clinic operational ledger</x:v>
      </x:c>
      <x:c r="C6" s="81" t="str">
        <x:v>2024-11-02 to 2026-08-26, then quarterly</x:v>
      </x:c>
      <x:c r="D6" s="81" t="str">
        <x:v>Department of Health; Horizon; Vitalité</x:v>
      </x:c>
      <x:c r="E6" s="81" t="str">
        <x:v>clinic ID, opening/announcement/operational dates, FTE by profession, unique permanent/temporary attachments, roster transfers, visits, wait-list removals, expenditures</x:v>
      </x:c>
      <x:c r="F6" s="81" t="str">
        <x:v>CSV with data dictionary</x:v>
      </x:c>
      <x:c r="G6" s="81" t="str">
        <x:v>No patient identifiers; suppress small cells</x:v>
      </x:c>
      <x:c r="H6" s="81" t="str">
        <x:v>Separate announced clinics from operating scale and unique access gains</x:v>
      </x:c>
      <x:c r="I6" s="184"/>
      <x:c r="J6" s="184"/>
    </x:row>
    <x:row r="7">
      <x:c r="A7" s="82" t="n">
        <x:v>2</x:v>
      </x:c>
      <x:c r="B7" s="82" t="str">
        <x:v>Electricity-rebate distribution and net-bill effects</x:v>
      </x:c>
      <x:c r="C7" s="82" t="str">
        <x:v>2025-01-01 to 2026-08-26</x:v>
      </x:c>
      <x:c r="D7" s="82" t="str">
        <x:v>Finance and Treasury Board; Energy; NB Power</x:v>
      </x:c>
      <x:c r="E7" s="82" t="str">
        <x:v>eligible accounts, recipients, rebate dollars, consumption deciles, region, arrears/disconnections, total bill before/after rates</x:v>
      </x:c>
      <x:c r="F7" s="82" t="str">
        <x:v>CSV aggregates</x:v>
      </x:c>
      <x:c r="G7" s="82" t="str">
        <x:v>No account identifiers</x:v>
      </x:c>
      <x:c r="H7" s="82" t="str">
        <x:v>Measure reach, distribution and adequacy</x:v>
      </x:c>
      <x:c r="I7" s="184"/>
      <x:c r="J7" s="184"/>
    </x:row>
    <x:row r="8">
      <x:c r="A8" s="82" t="n">
        <x:v>3</x:v>
      </x:c>
      <x:c r="B8" s="82" t="str">
        <x:v>Rent-cap administration and enforcement</x:v>
      </x:c>
      <x:c r="C8" s="82" t="str">
        <x:v>2024-11-20 to 2026-08-26</x:v>
      </x:c>
      <x:c r="D8" s="82" t="str">
        <x:v>Service New Brunswick / Residential Tenancies Tribunal</x:v>
      </x:c>
      <x:c r="E8" s="82" t="str">
        <x:v>notices, challenged increases, determinations, above-cap approvals, processing time, geography, landlord/tenant outcomes</x:v>
      </x:c>
      <x:c r="F8" s="82" t="str">
        <x:v>CSV aggregates</x:v>
      </x:c>
      <x:c r="G8" s="82" t="str">
        <x:v>No names/addresses; small-cell suppression</x:v>
      </x:c>
      <x:c r="H8" s="82" t="str">
        <x:v>Test whether enacted cap is enforced and accessible</x:v>
      </x:c>
      <x:c r="I8" s="184"/>
      <x:c r="J8" s="184"/>
    </x:row>
    <x:row r="9">
      <x:c r="A9" s="82" t="n">
        <x:v>4</x:v>
      </x:c>
      <x:c r="B9" s="82" t="str">
        <x:v>School-food reach and unit costs</x:v>
      </x:c>
      <x:c r="C9" s="82" t="str">
        <x:v>2024-09-01 to 2027-06-30</x:v>
      </x:c>
      <x:c r="D9" s="82" t="str">
        <x:v>Education and Early Childhood Development; districts</x:v>
      </x:c>
      <x:c r="E9" s="82" t="str">
        <x:v>school eligibility, operating dates, meals offered/served, repeat users, local procurement, staffing, waste, expenditures, interruptions</x:v>
      </x:c>
      <x:c r="F9" s="82" t="str">
        <x:v>CSV by school-month, privacy suppressed</x:v>
      </x:c>
      <x:c r="G9" s="82" t="str">
        <x:v>No student identifiers</x:v>
      </x:c>
      <x:c r="H9" s="82" t="str">
        <x:v>Move from universal availability to actual reach</x:v>
      </x:c>
      <x:c r="I9" s="184"/>
      <x:c r="J9" s="184"/>
    </x:row>
    <x:row r="10">
      <x:c r="A10" s="82" t="n">
        <x:v>5</x:v>
      </x:c>
      <x:c r="B10" s="82" t="str">
        <x:v>Government priority tracker evidence file</x:v>
      </x:c>
      <x:c r="C10" s="82" t="str">
        <x:v>2024-11-02 to 2026-08-26</x:v>
      </x:c>
      <x:c r="D10" s="82" t="str">
        <x:v>Executive Council Office and responsible departments</x:v>
      </x:c>
      <x:c r="E10" s="82" t="str">
        <x:v>commitment ID, status definition, status changes, validation owner/date, evidence link, target, baseline, correction history</x:v>
      </x:c>
      <x:c r="F10" s="82" t="str">
        <x:v>CSV plus data dictionary</x:v>
      </x:c>
      <x:c r="G10" s="82" t="str">
        <x:v>Exclude Cabinet confidences; provide final administrative records</x:v>
      </x:c>
      <x:c r="H10" s="82" t="str">
        <x:v>Audit Complete/In Progress labels consistently</x:v>
      </x:c>
      <x:c r="I10" s="184"/>
      <x:c r="J10" s="184"/>
    </x:row>
    <x:row r="11">
      <x:c r="A11" s="82" t="n">
        <x:v>6</x:v>
      </x:c>
      <x:c r="B11" s="82" t="str">
        <x:v>Senior executive roster and role-year flows</x:v>
      </x:c>
      <x:c r="C11" s="82" t="str">
        <x:v>2014-01-01 to 2026-08-26</x:v>
      </x:c>
      <x:c r="D11" s="82" t="str">
        <x:v>Executive Council Office; Human Resources</x:v>
      </x:c>
      <x:c r="E11" s="82" t="str">
        <x:v>role, classification, permanent/acting, start/end, movement type, internal/external, retirement, vacancy days, acting duration</x:v>
      </x:c>
      <x:c r="F11" s="82" t="str">
        <x:v>CSV, anonymized stable role IDs</x:v>
      </x:c>
      <x:c r="G11" s="82" t="str">
        <x:v>No personal reasons, severance or protected personal data</x:v>
      </x:c>
      <x:c r="H11" s="82" t="str">
        <x:v>Compare churn and continuity per role-year</x:v>
      </x:c>
      <x:c r="I11" s="184"/>
      <x:c r="J11" s="184"/>
    </x:row>
    <x:row r="12">
      <x:c r="A12" s="82" t="n">
        <x:v>7</x:v>
      </x:c>
      <x:c r="B12" s="82" t="str">
        <x:v>Part I workforce capacity series</x:v>
      </x:c>
      <x:c r="C12" s="82" t="str">
        <x:v>2018-01-01 to 2026-08-26 monthly</x:v>
      </x:c>
      <x:c r="D12" s="82" t="str">
        <x:v>Finance and Treasury Board; departments</x:v>
      </x:c>
      <x:c r="E12" s="82" t="str">
        <x:v>headcount/FTE, vacancies, suppressed positions, voluntary/involuntary/retirement exits, time-to-fill, failed competitions, sick leave, disability absence, overtime, grievances by department/level</x:v>
      </x:c>
      <x:c r="F12" s="82" t="str">
        <x:v>CSV aggregates</x:v>
      </x:c>
      <x:c r="G12" s="82" t="str">
        <x:v>Suppress cells &lt;10; no personal or medical detail</x:v>
      </x:c>
      <x:c r="H12" s="82" t="str">
        <x:v>Test attrition, workload and morale mechanisms</x:v>
      </x:c>
      <x:c r="I12" s="184"/>
      <x:c r="J12" s="184"/>
    </x:row>
    <x:row r="13">
      <x:c r="A13" s="82" t="n">
        <x:v>8</x:v>
      </x:c>
      <x:c r="B13" s="82" t="str">
        <x:v>Service standards matched to workforce changes</x:v>
      </x:c>
      <x:c r="C13" s="82" t="str">
        <x:v>2018-01-01 to 2026-08-26 monthly/quarterly</x:v>
      </x:c>
      <x:c r="D13" s="82" t="str">
        <x:v>Service departments and Executive Council Office</x:v>
      </x:c>
      <x:c r="E13" s="82" t="str">
        <x:v>published service metric, target, actual, backlog, processing time, rework, staffing level</x:v>
      </x:c>
      <x:c r="F13" s="82" t="str">
        <x:v>Long-form CSV</x:v>
      </x:c>
      <x:c r="G13" s="82" t="str">
        <x:v>Aggregate only</x:v>
      </x:c>
      <x:c r="H13" s="82" t="str">
        <x:v>Test whether staffing changes affect delivery</x:v>
      </x:c>
      <x:c r="I13" s="184"/>
      <x:c r="J13" s="184"/>
    </x:row>
    <x:row r="14">
      <x:c r="A14" s="82" t="n">
        <x:v>9</x:v>
      </x:c>
      <x:c r="B14" s="82" t="str">
        <x:v>RTIPPA operations</x:v>
      </x:c>
      <x:c r="C14" s="82" t="str">
        <x:v>2019-04-01 to 2026-08-26 quarterly</x:v>
      </x:c>
      <x:c r="D14" s="82" t="str">
        <x:v>Finance and Treasury Board; departments</x:v>
      </x:c>
      <x:c r="E14" s="82" t="str">
        <x:v>requests, completion time, extensions, deemed refusals, staffing FTE, training, backlog, review outcomes</x:v>
      </x:c>
      <x:c r="F14" s="82" t="str">
        <x:v>CSV</x:v>
      </x:c>
      <x:c r="G14" s="82" t="str">
        <x:v>No requester identity or request subject where identifying</x:v>
      </x:c>
      <x:c r="H14" s="82" t="str">
        <x:v>Track a documented capacity function consistently</x:v>
      </x:c>
      <x:c r="I14" s="184"/>
      <x:c r="J14" s="184"/>
    </x:row>
    <x:row r="15">
      <x:c r="A15" s="83" t="n">
        <x:v>10</x:v>
      </x:c>
      <x:c r="B15" s="83" t="str">
        <x:v>Aggregate decision-cycle and rework measures</x:v>
      </x:c>
      <x:c r="C15" s="83" t="str">
        <x:v>2024-11-02 to 2026-08-26</x:v>
      </x:c>
      <x:c r="D15" s="83" t="str">
        <x:v>Executive Council Office; selected departments</x:v>
      </x:c>
      <x:c r="E15" s="83" t="str">
        <x:v>non-Cabinet approval workflow, number of approval layers, elapsed days, returns for revision, responsible level</x:v>
      </x:c>
      <x:c r="F15" s="83" t="str">
        <x:v>CSV aggregates</x:v>
      </x:c>
      <x:c r="G15" s="83" t="str">
        <x:v>No Cabinet confidences, advice content or legal advice</x:v>
      </x:c>
      <x:c r="H15" s="83" t="str">
        <x:v>Test decision latency and internal translation without seeking protected substance</x:v>
      </x:c>
      <x:c r="I15" s="184"/>
      <x:c r="J15" s="184"/>
    </x:row>
    <x:row r="16">
      <x:c r="A16" s="184"/>
      <x:c r="B16" s="184"/>
      <x:c r="C16" s="184"/>
      <x:c r="D16" s="184"/>
      <x:c r="E16" s="184"/>
      <x:c r="F16" s="184"/>
      <x:c r="G16" s="184"/>
      <x:c r="H16" s="184"/>
      <x:c r="I16" s="184"/>
      <x:c r="J16" s="184"/>
    </x:row>
    <x:row r="17">
      <x:c r="A17" s="184"/>
      <x:c r="B17" s="184"/>
      <x:c r="C17" s="184"/>
      <x:c r="D17" s="184"/>
      <x:c r="E17" s="184"/>
      <x:c r="F17" s="184"/>
      <x:c r="G17" s="184"/>
      <x:c r="H17" s="184"/>
      <x:c r="I17" s="184"/>
      <x:c r="J17" s="184"/>
    </x:row>
    <x:row r="18">
      <x:c r="A18" s="185" t="str">
        <x:v>Representative bilingual public survey</x:v>
      </x:c>
      <x:c r="B18" s="186"/>
      <x:c r="C18" s="186"/>
      <x:c r="D18" s="186"/>
      <x:c r="E18" s="186"/>
      <x:c r="F18" s="186"/>
      <x:c r="G18" s="186"/>
      <x:c r="H18" s="186"/>
      <x:c r="I18" s="186"/>
      <x:c r="J18" s="187"/>
    </x:row>
    <x:row r="19" ht="30" customHeight="1">
      <x:c r="A19" s="206" t="str">
        <x:v>Module</x:v>
      </x:c>
      <x:c r="B19" s="207" t="str">
        <x:v>ID</x:v>
      </x:c>
      <x:c r="C19" s="207" t="str">
        <x:v>Question</x:v>
      </x:c>
      <x:c r="D19" s="207" t="str">
        <x:v>Response</x:v>
      </x:c>
      <x:c r="E19" s="207" t="str">
        <x:v>Estimand</x:v>
      </x:c>
      <x:c r="F19" s="208" t="str">
        <x:v>Design note</x:v>
      </x:c>
      <x:c r="G19" s="184"/>
      <x:c r="H19" s="184"/>
      <x:c r="I19" s="184"/>
      <x:c r="J19" s="184"/>
    </x:row>
    <x:row r="20">
      <x:c r="A20" s="81" t="str">
        <x:v>Purpose recall</x:v>
      </x:c>
      <x:c r="B20" s="81" t="str">
        <x:v>P01</x:v>
      </x:c>
      <x:c r="C20" s="81" t="str">
        <x:v>In your own words, what do you think the New Brunswick government is mainly trying to accomplish?</x:v>
      </x:c>
      <x:c r="D20" s="81" t="str">
        <x:v>Open text, bilingual native coding</x:v>
      </x:c>
      <x:c r="E20" s="81" t="str">
        <x:v>Unaided governing-thesis recall</x:v>
      </x:c>
      <x:c r="F20" s="81" t="str">
        <x:v>Ask before any policy cues</x:v>
      </x:c>
      <x:c r="G20" s="184"/>
      <x:c r="H20" s="184"/>
      <x:c r="I20" s="184"/>
      <x:c r="J20" s="184"/>
    </x:row>
    <x:row r="21">
      <x:c r="A21" s="82" t="str">
        <x:v>Priority recall</x:v>
      </x:c>
      <x:c r="B21" s="82" t="str">
        <x:v>P02</x:v>
      </x:c>
      <x:c r="C21" s="82" t="str">
        <x:v>What are the three most important priorities of the provincial government, if any?</x:v>
      </x:c>
      <x:c r="D21" s="82" t="str">
        <x:v>Up to three open responses</x:v>
      </x:c>
      <x:c r="E21" s="82" t="str">
        <x:v>Unaided priority accuracy and concentration</x:v>
      </x:c>
      <x:c r="F21" s="82" t="str">
        <x:v>Code against pre-registered six-priority set</x:v>
      </x:c>
      <x:c r="G21" s="184"/>
      <x:c r="H21" s="184"/>
      <x:c r="I21" s="184"/>
      <x:c r="J21" s="184"/>
    </x:row>
    <x:row r="22">
      <x:c r="A22" s="82" t="str">
        <x:v>Policy awareness</x:v>
      </x:c>
      <x:c r="B22" s="82" t="str">
        <x:v>P03</x:v>
      </x:c>
      <x:c r="C22" s="82" t="str">
        <x:v>Before today, had you heard about [randomized policy]?</x:v>
      </x:c>
      <x:c r="D22" s="82" t="str">
        <x:v>Yes, clearly / vaguely / no</x:v>
      </x:c>
      <x:c r="E22" s="82" t="str">
        <x:v>Awareness</x:v>
      </x:c>
      <x:c r="F22" s="82" t="str">
        <x:v>Randomize clinic, rebate, rent cap, breakfast, housing, physician agreement</x:v>
      </x:c>
      <x:c r="G22" s="184"/>
      <x:c r="H22" s="184"/>
      <x:c r="I22" s="184"/>
      <x:c r="J22" s="184"/>
    </x:row>
    <x:row r="23">
      <x:c r="A23" s="82" t="str">
        <x:v>Attribution</x:v>
      </x:c>
      <x:c r="B23" s="82" t="str">
        <x:v>P04</x:v>
      </x:c>
      <x:c r="C23" s="82" t="str">
        <x:v>Which level of government or organization is mainly responsible for [policy]?</x:v>
      </x:c>
      <x:c r="D23" s="82" t="str">
        <x:v>Province / federal / municipal / utility / non-profit / unsure</x:v>
      </x:c>
      <x:c r="E23" s="82" t="str">
        <x:v>Correct jurisdictional attribution</x:v>
      </x:c>
      <x:c r="F23" s="82" t="str">
        <x:v>Ask before identifying sponsor</x:v>
      </x:c>
      <x:c r="G23" s="184"/>
      <x:c r="H23" s="184"/>
      <x:c r="I23" s="184"/>
      <x:c r="J23" s="184"/>
    </x:row>
    <x:row r="24">
      <x:c r="A24" s="82" t="str">
        <x:v>Experience</x:v>
      </x:c>
      <x:c r="B24" s="82" t="str">
        <x:v>P05</x:v>
      </x:c>
      <x:c r="C24" s="82" t="str">
        <x:v>Have you or someone in your household directly used or received this policy or service?</x:v>
      </x:c>
      <x:c r="D24" s="82" t="str">
        <x:v>Yes / no / unsure</x:v>
      </x:c>
      <x:c r="E24" s="82" t="str">
        <x:v>Personal reach</x:v>
      </x:c>
      <x:c r="F24" s="82" t="str">
        <x:v>Follow with adequacy and local availability</x:v>
      </x:c>
      <x:c r="G24" s="184"/>
      <x:c r="H24" s="184"/>
      <x:c r="I24" s="184"/>
      <x:c r="J24" s="184"/>
    </x:row>
    <x:row r="25">
      <x:c r="A25" s="82" t="str">
        <x:v>Experiment</x:v>
      </x:c>
      <x:c r="B25" s="82" t="str">
        <x:v>P06</x:v>
      </x:c>
      <x:c r="C25" s="82" t="str">
        <x:v>How much do you support or oppose this policy?</x:v>
      </x:c>
      <x:c r="D25" s="82" t="str">
        <x:v>7-point support scale</x:v>
      </x:c>
      <x:c r="E25" s="82" t="str">
        <x:v>Neutral policy evaluation</x:v>
      </x:c>
      <x:c r="F25" s="82" t="str">
        <x:v>Arm A neutral facts; B says Government of New Brunswick; C says Susan Holt's government</x:v>
      </x:c>
      <x:c r="G25" s="184"/>
      <x:c r="H25" s="184"/>
      <x:c r="I25" s="184"/>
      <x:c r="J25" s="184"/>
    </x:row>
    <x:row r="26">
      <x:c r="A26" s="82" t="str">
        <x:v>Information treatment</x:v>
      </x:c>
      <x:c r="B26" s="82" t="str">
        <x:v>P07</x:v>
      </x:c>
      <x:c r="C26" s="82" t="str">
        <x:v>After seeing verified progress and limitations, how do you evaluate the policy?</x:v>
      </x:c>
      <x:c r="D26" s="82" t="str">
        <x:v>7-point scale and confidence</x:v>
      </x:c>
      <x:c r="E26" s="82" t="str">
        <x:v>Effect of accurate information</x:v>
      </x:c>
      <x:c r="F26" s="82" t="str">
        <x:v>Use balanced treatment with output and outcome</x:v>
      </x:c>
      <x:c r="G26" s="184"/>
      <x:c r="H26" s="184"/>
      <x:c r="I26" s="184"/>
      <x:c r="J26" s="184"/>
    </x:row>
    <x:row r="27">
      <x:c r="A27" s="82" t="str">
        <x:v>Issue ownership</x:v>
      </x:c>
      <x:c r="B27" s="82" t="str">
        <x:v>P08</x:v>
      </x:c>
      <x:c r="C27" s="82" t="str">
        <x:v>Which provincial party do you trust most on [issue]?</x:v>
      </x:c>
      <x:c r="D27" s="82" t="str">
        <x:v>Party / none / unsure</x:v>
      </x:c>
      <x:c r="E27" s="82" t="str">
        <x:v>Issue ownership</x:v>
      </x:c>
      <x:c r="F27" s="82" t="str">
        <x:v>Rotate health, affordability, housing, education, fiscal management</x:v>
      </x:c>
      <x:c r="G27" s="184"/>
      <x:c r="H27" s="184"/>
      <x:c r="I27" s="184"/>
      <x:c r="J27" s="184"/>
    </x:row>
    <x:row r="28">
      <x:c r="A28" s="82" t="str">
        <x:v>Exposure</x:v>
      </x:c>
      <x:c r="B28" s="82" t="str">
        <x:v>P09</x:v>
      </x:c>
      <x:c r="C28" s="82" t="str">
        <x:v>Where have you encountered information about this policy?</x:v>
      </x:c>
      <x:c r="D28" s="82" t="str">
        <x:v>Premier / minister / MLA / news / social / government site / word of mouth / nowhere</x:v>
      </x:c>
      <x:c r="E28" s="82" t="str">
        <x:v>Transmission channel</x:v>
      </x:c>
      <x:c r="F28" s="82" t="str">
        <x:v>Multiple response</x:v>
      </x:c>
      <x:c r="G28" s="184"/>
      <x:c r="H28" s="184"/>
      <x:c r="I28" s="184"/>
      <x:c r="J28" s="184"/>
    </x:row>
    <x:row r="29">
      <x:c r="A29" s="83" t="str">
        <x:v>Sampling</x:v>
      </x:c>
      <x:c r="B29" s="83" t="str">
        <x:v>P10</x:v>
      </x:c>
      <x:c r="C29" s="83" t="str">
        <x:v>Design requirement</x:v>
      </x:c>
      <x:c r="D29" s="83" t="str">
        <x:v>Probability or high-quality panel with weights</x:v>
      </x:c>
      <x:c r="E29" s="83" t="str">
        <x:v>Province, language, region and urban/rural inference</x:v>
      </x:c>
      <x:c r="F29" s="83" t="str">
        <x:v>Minimum n=1,600; oversample Francophone, North, Central/rural and under-45; preregister weights and contrasts</x:v>
      </x:c>
      <x:c r="G29" s="184"/>
      <x:c r="H29" s="184"/>
      <x:c r="I29" s="184"/>
      <x:c r="J29" s="184"/>
    </x:row>
    <x:row r="30">
      <x:c r="A30" s="184"/>
      <x:c r="B30" s="184"/>
      <x:c r="C30" s="184"/>
      <x:c r="D30" s="184"/>
      <x:c r="E30" s="184"/>
      <x:c r="F30" s="184"/>
      <x:c r="G30" s="184"/>
      <x:c r="H30" s="184"/>
      <x:c r="I30" s="184"/>
      <x:c r="J30" s="184"/>
    </x:row>
    <x:row r="31">
      <x:c r="A31" s="184"/>
      <x:c r="B31" s="184"/>
      <x:c r="C31" s="184"/>
      <x:c r="D31" s="184"/>
      <x:c r="E31" s="184"/>
      <x:c r="F31" s="184"/>
      <x:c r="G31" s="184"/>
      <x:c r="H31" s="184"/>
      <x:c r="I31" s="184"/>
      <x:c r="J31" s="184"/>
    </x:row>
    <x:row r="32">
      <x:c r="A32" s="185" t="str">
        <x:v>Confidential employee pulse</x:v>
      </x:c>
      <x:c r="B32" s="186"/>
      <x:c r="C32" s="186"/>
      <x:c r="D32" s="186"/>
      <x:c r="E32" s="186"/>
      <x:c r="F32" s="186"/>
      <x:c r="G32" s="186"/>
      <x:c r="H32" s="186"/>
      <x:c r="I32" s="186"/>
      <x:c r="J32" s="187"/>
    </x:row>
    <x:row r="33" ht="30" customHeight="1">
      <x:c r="A33" s="206" t="str">
        <x:v>Module</x:v>
      </x:c>
      <x:c r="B33" s="207" t="str">
        <x:v>Item</x:v>
      </x:c>
      <x:c r="C33" s="207" t="str">
        <x:v>Scale</x:v>
      </x:c>
      <x:c r="D33" s="208" t="str">
        <x:v>Construct</x:v>
      </x:c>
      <x:c r="E33" s="184"/>
      <x:c r="F33" s="184"/>
      <x:c r="G33" s="184"/>
      <x:c r="H33" s="184"/>
      <x:c r="I33" s="184"/>
      <x:c r="J33" s="184"/>
    </x:row>
    <x:row r="34">
      <x:c r="A34" s="81" t="str">
        <x:v>Priority clarity</x:v>
      </x:c>
      <x:c r="B34" s="81" t="str">
        <x:v>I understand the government's top priorities and how my work contributes.</x:v>
      </x:c>
      <x:c r="C34" s="81" t="str">
        <x:v>1 strongly disagree to 5 strongly agree</x:v>
      </x:c>
      <x:c r="D34" s="81" t="str">
        <x:v>Role and priority clarity</x:v>
      </x:c>
      <x:c r="E34" s="184"/>
      <x:c r="F34" s="184"/>
      <x:c r="G34" s="184"/>
      <x:c r="H34" s="184"/>
      <x:c r="I34" s="184"/>
      <x:c r="J34" s="184"/>
    </x:row>
    <x:row r="35">
      <x:c r="A35" s="82" t="str">
        <x:v>Decision rights</x:v>
      </x:c>
      <x:c r="B35" s="82" t="str">
        <x:v>It is clear who has authority to make timely decisions in my area.</x:v>
      </x:c>
      <x:c r="C35" s="82" t="str">
        <x:v>1-5</x:v>
      </x:c>
      <x:c r="D35" s="82" t="str">
        <x:v>Decision clarity</x:v>
      </x:c>
      <x:c r="E35" s="184"/>
      <x:c r="F35" s="184"/>
      <x:c r="G35" s="184"/>
      <x:c r="H35" s="184"/>
      <x:c r="I35" s="184"/>
      <x:c r="J35" s="184"/>
    </x:row>
    <x:row r="36">
      <x:c r="A36" s="82" t="str">
        <x:v>Rework</x:v>
      </x:c>
      <x:c r="B36" s="82" t="str">
        <x:v>In the past three months, work was materially redone because direction changed or was unclear.</x:v>
      </x:c>
      <x:c r="C36" s="82" t="str">
        <x:v>Never to very often</x:v>
      </x:c>
      <x:c r="D36" s="82" t="str">
        <x:v>Execution friction</x:v>
      </x:c>
      <x:c r="E36" s="184"/>
      <x:c r="F36" s="184"/>
      <x:c r="G36" s="184"/>
      <x:c r="H36" s="184"/>
      <x:c r="I36" s="184"/>
      <x:c r="J36" s="184"/>
    </x:row>
    <x:row r="37">
      <x:c r="A37" s="82" t="str">
        <x:v>Frank advice</x:v>
      </x:c>
      <x:c r="B37" s="82" t="str">
        <x:v>I can provide candid, evidence-based advice without fear of negative consequences.</x:v>
      </x:c>
      <x:c r="C37" s="82" t="str">
        <x:v>1-5</x:v>
      </x:c>
      <x:c r="D37" s="82" t="str">
        <x:v>Psychological safety and impartial advice</x:v>
      </x:c>
      <x:c r="E37" s="184"/>
      <x:c r="F37" s="184"/>
      <x:c r="G37" s="184"/>
      <x:c r="H37" s="184"/>
      <x:c r="I37" s="184"/>
      <x:c r="J37" s="184"/>
    </x:row>
    <x:row r="38">
      <x:c r="A38" s="82" t="str">
        <x:v>Translation</x:v>
      </x:c>
      <x:c r="B38" s="82" t="str">
        <x:v>Political commitments are translated into stable, resourced and operational direction.</x:v>
      </x:c>
      <x:c r="C38" s="82" t="str">
        <x:v>1-5</x:v>
      </x:c>
      <x:c r="D38" s="82" t="str">
        <x:v>Strategic translation</x:v>
      </x:c>
      <x:c r="E38" s="184"/>
      <x:c r="F38" s="184"/>
      <x:c r="G38" s="184"/>
      <x:c r="H38" s="184"/>
      <x:c r="I38" s="184"/>
      <x:c r="J38" s="184"/>
    </x:row>
    <x:row r="39">
      <x:c r="A39" s="82" t="str">
        <x:v>Workload</x:v>
      </x:c>
      <x:c r="B39" s="82" t="str">
        <x:v>My unit has enough people, skills and time to meet expected service standards.</x:v>
      </x:c>
      <x:c r="C39" s="82" t="str">
        <x:v>1-5</x:v>
      </x:c>
      <x:c r="D39" s="82" t="str">
        <x:v>Capacity</x:v>
      </x:c>
      <x:c r="E39" s="184"/>
      <x:c r="F39" s="184"/>
      <x:c r="G39" s="184"/>
      <x:c r="H39" s="184"/>
      <x:c r="I39" s="184"/>
      <x:c r="J39" s="184"/>
    </x:row>
    <x:row r="40">
      <x:c r="A40" s="82" t="str">
        <x:v>Change load</x:v>
      </x:c>
      <x:c r="B40" s="82" t="str">
        <x:v>The pace and number of simultaneous changes are manageable.</x:v>
      </x:c>
      <x:c r="C40" s="82" t="str">
        <x:v>1-5</x:v>
      </x:c>
      <x:c r="D40" s="82" t="str">
        <x:v>Change management</x:v>
      </x:c>
      <x:c r="E40" s="184"/>
      <x:c r="F40" s="184"/>
      <x:c r="G40" s="184"/>
      <x:c r="H40" s="184"/>
      <x:c r="I40" s="184"/>
      <x:c r="J40" s="184"/>
    </x:row>
    <x:row r="41">
      <x:c r="A41" s="82" t="str">
        <x:v>Leadership confidence</x:v>
      </x:c>
      <x:c r="B41" s="82" t="str">
        <x:v>I have confidence that senior administrative leadership can deliver the government's priorities while protecting professional standards.</x:v>
      </x:c>
      <x:c r="C41" s="82" t="str">
        <x:v>1-5</x:v>
      </x:c>
      <x:c r="D41" s="82" t="str">
        <x:v>Administrative confidence</x:v>
      </x:c>
      <x:c r="E41" s="184"/>
      <x:c r="F41" s="184"/>
      <x:c r="G41" s="184"/>
      <x:c r="H41" s="184"/>
      <x:c r="I41" s="184"/>
      <x:c r="J41" s="184"/>
    </x:row>
    <x:row r="42">
      <x:c r="A42" s="82" t="str">
        <x:v>Intention to remain</x:v>
      </x:c>
      <x:c r="B42" s="82" t="str">
        <x:v>How likely are you to remain in the New Brunswick public service for the next 12 months?</x:v>
      </x:c>
      <x:c r="C42" s="82" t="str">
        <x:v>0-10</x:v>
      </x:c>
      <x:c r="D42" s="82" t="str">
        <x:v>Retention risk</x:v>
      </x:c>
      <x:c r="E42" s="184"/>
      <x:c r="F42" s="184"/>
      <x:c r="G42" s="184"/>
      <x:c r="H42" s="184"/>
      <x:c r="I42" s="184"/>
      <x:c r="J42" s="184"/>
    </x:row>
    <x:row r="43">
      <x:c r="A43" s="83" t="str">
        <x:v>Design safeguards</x:v>
      </x:c>
      <x:c r="B43" s="83" t="str">
        <x:v>Independent administration; bilingual instrument; stratify Parts and level; suppress cells &lt;10; no raw text to employer; publish response/nonresponse analysis.</x:v>
      </x:c>
      <x:c r="C43" s="83" t="str">
        <x:v>Protocol</x:v>
      </x:c>
      <x:c r="D43" s="83" t="str">
        <x:v>Privacy and validity</x:v>
      </x:c>
      <x:c r="E43" s="184"/>
      <x:c r="F43" s="184"/>
      <x:c r="G43" s="184"/>
      <x:c r="H43" s="184"/>
      <x:c r="I43" s="184"/>
      <x:c r="J43" s="184"/>
    </x:row>
    <x:row r="44">
      <x:c r="A44" s="184"/>
      <x:c r="B44" s="184"/>
      <x:c r="C44" s="184"/>
      <x:c r="D44" s="184"/>
      <x:c r="E44" s="184"/>
      <x:c r="F44" s="184"/>
      <x:c r="G44" s="184"/>
      <x:c r="H44" s="184"/>
      <x:c r="I44" s="184"/>
      <x:c r="J44" s="184"/>
    </x:row>
    <x:row r="45">
      <x:c r="A45" s="184"/>
      <x:c r="B45" s="184"/>
      <x:c r="C45" s="184"/>
      <x:c r="D45" s="184"/>
      <x:c r="E45" s="184"/>
      <x:c r="F45" s="184"/>
      <x:c r="G45" s="184"/>
      <x:c r="H45" s="184"/>
      <x:c r="I45" s="184"/>
      <x:c r="J45" s="184"/>
    </x:row>
    <x:row r="46">
      <x:c r="A46" s="185" t="str">
        <x:v>Critical-incident interview protocol</x:v>
      </x:c>
      <x:c r="B46" s="186"/>
      <x:c r="C46" s="186"/>
      <x:c r="D46" s="186"/>
      <x:c r="E46" s="186"/>
      <x:c r="F46" s="186"/>
      <x:c r="G46" s="186"/>
      <x:c r="H46" s="186"/>
      <x:c r="I46" s="186"/>
      <x:c r="J46" s="187"/>
    </x:row>
    <x:row r="47" ht="30" customHeight="1">
      <x:c r="A47" s="206" t="str">
        <x:v>Step</x:v>
      </x:c>
      <x:c r="B47" s="207" t="str">
        <x:v>Prompt</x:v>
      </x:c>
      <x:c r="C47" s="207" t="str">
        <x:v>Probe</x:v>
      </x:c>
      <x:c r="D47" s="208" t="str">
        <x:v>Safeguard</x:v>
      </x:c>
      <x:c r="E47" s="184"/>
      <x:c r="F47" s="184"/>
      <x:c r="G47" s="184"/>
      <x:c r="H47" s="184"/>
      <x:c r="I47" s="184"/>
      <x:c r="J47" s="184"/>
    </x:row>
    <x:row r="48">
      <x:c r="A48" s="81" t="n">
        <x:v>1</x:v>
      </x:c>
      <x:c r="B48" s="81" t="str">
        <x:v>Describe one specific incident in which direction, approval or resourcing materially helped or hindered delivery.</x:v>
      </x:c>
      <x:c r="C48" s="81" t="str">
        <x:v>Date, direct role, decision point, consequence</x:v>
      </x:c>
      <x:c r="D48" s="81" t="str">
        <x:v>No names, Cabinet confidences, legal advice or unauthorized records</x:v>
      </x:c>
      <x:c r="E48" s="184"/>
      <x:c r="F48" s="184"/>
      <x:c r="G48" s="184"/>
      <x:c r="H48" s="184"/>
      <x:c r="I48" s="184"/>
      <x:c r="J48" s="184"/>
    </x:row>
    <x:row r="49">
      <x:c r="A49" s="82" t="n">
        <x:v>2</x:v>
      </x:c>
      <x:c r="B49" s="82" t="str">
        <x:v>Which parts did you observe directly and which did you hear from others?</x:v>
      </x:c>
      <x:c r="C49" s="82" t="str">
        <x:v>Separate observation, inference and hearsay</x:v>
      </x:c>
      <x:c r="D49" s="82" t="str">
        <x:v>Do not aggregate hearsay as independent evidence</x:v>
      </x:c>
      <x:c r="E49" s="184"/>
      <x:c r="F49" s="184"/>
      <x:c r="G49" s="184"/>
      <x:c r="H49" s="184"/>
      <x:c r="I49" s="184"/>
      <x:c r="J49" s="184"/>
    </x:row>
    <x:row r="50">
      <x:c r="A50" s="82" t="n">
        <x:v>3</x:v>
      </x:c>
      <x:c r="B50" s="82" t="str">
        <x:v>What is the strongest example that points in the opposite direction?</x:v>
      </x:c>
      <x:c r="C50" s="82" t="str">
        <x:v>Seek disconfirmation</x:v>
      </x:c>
      <x:c r="D50" s="82" t="str">
        <x:v>Avoid advocacy sampling</x:v>
      </x:c>
      <x:c r="E50" s="184"/>
      <x:c r="F50" s="184"/>
      <x:c r="G50" s="184"/>
      <x:c r="H50" s="184"/>
      <x:c r="I50" s="184"/>
      <x:c r="J50" s="184"/>
    </x:row>
    <x:row r="51">
      <x:c r="A51" s="82" t="n">
        <x:v>4</x:v>
      </x:c>
      <x:c r="B51" s="82" t="str">
        <x:v>What ordinary explanation could account for the incident?</x:v>
      </x:c>
      <x:c r="C51" s="82" t="str">
        <x:v>Retirement, bargaining, demand, inherited vacancy, normal transition</x:v>
      </x:c>
      <x:c r="D51" s="82" t="str">
        <x:v>No motive attribution</x:v>
      </x:c>
      <x:c r="E51" s="184"/>
      <x:c r="F51" s="184"/>
      <x:c r="G51" s="184"/>
      <x:c r="H51" s="184"/>
      <x:c r="I51" s="184"/>
      <x:c r="J51" s="184"/>
    </x:row>
    <x:row r="52">
      <x:c r="A52" s="82" t="n">
        <x:v>5</x:v>
      </x:c>
      <x:c r="B52" s="82" t="str">
        <x:v>What record or metric would independently verify the operational consequence?</x:v>
      </x:c>
      <x:c r="C52" s="82" t="str">
        <x:v>Backlog, time, rework, staffing, service standard</x:v>
      </x:c>
      <x:c r="D52" s="82" t="str">
        <x:v>Use only authorized aggregate records</x:v>
      </x:c>
      <x:c r="E52" s="184"/>
      <x:c r="F52" s="184"/>
      <x:c r="G52" s="184"/>
      <x:c r="H52" s="184"/>
      <x:c r="I52" s="184"/>
      <x:c r="J52" s="184"/>
    </x:row>
    <x:row r="53">
      <x:c r="A53" s="83" t="n">
        <x:v>6</x:v>
      </x:c>
      <x:c r="B53" s="83" t="str">
        <x:v>Consent and reporting check</x:v>
      </x:c>
      <x:c r="C53" s="83" t="str">
        <x:v>Participant reviews attribution level and indirect-identification risk</x:v>
      </x:c>
      <x:c r="D53" s="83" t="str">
        <x:v>Report themes only when at least three independent roles and a documentary measure converge</x:v>
      </x:c>
      <x:c r="E53" s="184"/>
      <x:c r="F53" s="184"/>
      <x:c r="G53" s="184"/>
      <x:c r="H53" s="184"/>
      <x:c r="I53" s="184"/>
      <x:c r="J53" s="184"/>
    </x:row>
  </x:sheetData>
  <x:mergeCells>
    <x:mergeCell ref="A1:J1"/>
    <x:mergeCell ref="A2:J2"/>
    <x:mergeCell ref="A4:J4"/>
    <x:mergeCell ref="A18:J18"/>
    <x:mergeCell ref="A32:J32"/>
    <x:mergeCell ref="A46:J46"/>
  </x:mergeCells>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5"/>
  <x:cols>
    <x:col min="1" max="1" width="18" hidden="0" customWidth="1"/>
    <x:col min="2" max="2" width="62" hidden="0" customWidth="1"/>
    <x:col min="3" max="3" width="28" hidden="0" customWidth="1"/>
    <x:col min="4" max="4" width="66" hidden="0" customWidth="1"/>
    <x:col min="5" max="5" width="24" hidden="0" customWidth="1"/>
    <x:col min="6" max="6" width="58" hidden="0" customWidth="1"/>
    <x:col min="7" max="7" width="62" hidden="0" customWidth="1"/>
    <x:col min="8" max="8" width="24" hidden="0" customWidth="1"/>
  </x:cols>
  <x:sheetData>
    <x:row r="1" ht="30" customHeight="1">
      <x:c r="A1" s="182" t="str">
        <x:v>Major claim ledger and audit corrections</x:v>
      </x:c>
      <x:c r="B1" s="182" t="str">
        <x:v>Major claim ledger and audit corrections</x:v>
      </x:c>
      <x:c r="C1" s="182" t="str">
        <x:v>Major claim ledger and audit corrections</x:v>
      </x:c>
      <x:c r="D1" s="182" t="str">
        <x:v>Major claim ledger and audit corrections</x:v>
      </x:c>
      <x:c r="E1" s="182" t="str">
        <x:v>Major claim ledger and audit corrections</x:v>
      </x:c>
      <x:c r="F1" s="182" t="str">
        <x:v>Major claim ledger and audit corrections</x:v>
      </x:c>
      <x:c r="G1" s="182" t="str">
        <x:v>Major claim ledger and audit corrections</x:v>
      </x:c>
      <x:c r="H1" s="182" t="str">
        <x:v>Major claim ledger and audit corrections</x:v>
      </x:c>
    </x:row>
    <x:row r="2" ht="26" customHeight="1">
      <x:c r="A2" s="183" t="str">
        <x:v>Every major conclusion includes a type, confidence, rival explanation and prospective disconfirming evidence.</x:v>
      </x:c>
      <x:c r="B2" s="183" t="str">
        <x:v>Every major conclusion includes a type, confidence, rival explanation and prospective disconfirming evidence.</x:v>
      </x:c>
      <x:c r="C2" s="183" t="str">
        <x:v>Every major conclusion includes a type, confidence, rival explanation and prospective disconfirming evidence.</x:v>
      </x:c>
      <x:c r="D2" s="183" t="str">
        <x:v>Every major conclusion includes a type, confidence, rival explanation and prospective disconfirming evidence.</x:v>
      </x:c>
      <x:c r="E2" s="183" t="str">
        <x:v>Every major conclusion includes a type, confidence, rival explanation and prospective disconfirming evidence.</x:v>
      </x:c>
      <x:c r="F2" s="183" t="str">
        <x:v>Every major conclusion includes a type, confidence, rival explanation and prospective disconfirming evidence.</x:v>
      </x:c>
      <x:c r="G2" s="183" t="str">
        <x:v>Every major conclusion includes a type, confidence, rival explanation and prospective disconfirming evidence.</x:v>
      </x:c>
      <x:c r="H2" s="183" t="str">
        <x:v>Every major conclusion includes a type, confidence, rival explanation and prospective disconfirming evidence.</x:v>
      </x:c>
    </x:row>
    <x:row r="3">
      <x:c r="A3" s="184"/>
      <x:c r="B3" s="184"/>
      <x:c r="C3" s="184"/>
      <x:c r="D3" s="184"/>
      <x:c r="E3" s="184"/>
      <x:c r="F3" s="184"/>
      <x:c r="G3" s="184"/>
      <x:c r="H3" s="184"/>
    </x:row>
    <x:row r="4" ht="30" customHeight="1">
      <x:c r="A4" s="206" t="str">
        <x:v>ID</x:v>
      </x:c>
      <x:c r="B4" s="207" t="str">
        <x:v>Conclusion</x:v>
      </x:c>
      <x:c r="C4" s="207" t="str">
        <x:v>Type</x:v>
      </x:c>
      <x:c r="D4" s="207" t="str">
        <x:v>Evidence</x:v>
      </x:c>
      <x:c r="E4" s="207" t="str">
        <x:v>Confidence</x:v>
      </x:c>
      <x:c r="F4" s="207" t="str">
        <x:v>Strongest rival</x:v>
      </x:c>
      <x:c r="G4" s="207" t="str">
        <x:v>Disconfirming evidence</x:v>
      </x:c>
      <x:c r="H4" s="208" t="str">
        <x:v>Sources</x:v>
      </x:c>
    </x:row>
    <x:row r="5">
      <x:c r="A5" s="81" t="str">
        <x:v>C01</x:v>
      </x:c>
      <x:c r="B5" s="81" t="str">
        <x:v>All current poll-specific deterministic benchmarks yield Liberal majorities, but this is not an election probability or 2028 forecast.</x:v>
      </x:c>
      <x:c r="C5" s="81" t="str">
        <x:v>Current benchmark</x:v>
      </x:c>
      <x:c r="D5" s="81" t="str">
        <x:v>Three-poll 90-day recency benchmark produces 30 Liberal seats; poll-specific scenarios produce 26-32.</x:v>
      </x:c>
      <x:c r="E5" s="81" t="str">
        <x:v>Moderate</x:v>
      </x:c>
      <x:c r="F5" s="81" t="str">
        <x:v>Sparse non-probability polling and proportional swing understate local/regional error.</x:v>
      </x:c>
      <x:c r="G5" s="81" t="str">
        <x:v>Two independent polls tied/negative and consecutive benchmarks at 24 or fewer seats.</x:v>
      </x:c>
      <x:c r="H5" s="81" t="str">
        <x:v>S06;S07;S08;S01</x:v>
      </x:c>
    </x:row>
    <x:row r="6">
      <x:c r="A6" s="82" t="str">
        <x:v>C02</x:v>
      </x:c>
      <x:c r="B6" s="82" t="str">
        <x:v>The current condition is a soft advantage, not a durable advantage.</x:v>
      </x:c>
      <x:c r="C6" s="82" t="str">
        <x:v>Inference</x:v>
      </x:c>
      <x:c r="D6" s="82" t="str">
        <x:v>Vote lead coexists with negative direction, mixed handling approval, leader erosion and weak issue ratings.</x:v>
      </x:c>
      <x:c r="E6" s="82" t="str">
        <x:v>Medium-high</x:v>
      </x:c>
      <x:c r="F6" s="82" t="str">
        <x:v>Opposition weakness may be only one component of a genuinely broad Liberal coalition.</x:v>
      </x:c>
      <x:c r="G6" s="82" t="str">
        <x:v>Sustained approval, trust and issue ownership gains after a settled opposition leadership.</x:v>
      </x:c>
      <x:c r="H6" s="82" t="str">
        <x:v>S06;S07;S08;S09</x:v>
      </x:c>
    </x:row>
    <x:row r="7">
      <x:c r="A7" s="82" t="str">
        <x:v>C03</x:v>
      </x:c>
      <x:c r="B7" s="82" t="str">
        <x:v>An implementation-to-public-evaluation gap is observed; credit conversion and weak mandate compression are leading hypotheses, not identified causes.</x:v>
      </x:c>
      <x:c r="C7" s="82" t="str">
        <x:v>Inference</x:v>
      </x:c>
      <x:c r="D7" s="82" t="str">
        <x:v>Real outputs coexist with low issue ratings, declining trust/positive-change ratings and six broad priorities under rotating frames; linked mechanism measures are absent.</x:v>
      </x:c>
      <x:c r="E7" s="82" t="str">
        <x:v>Medium</x:v>
      </x:c>
      <x:c r="F7" s="82" t="str">
        <x:v>Residents may understand and credit the agenda but judge delivery inadequate or too recent.</x:v>
      </x:c>
      <x:c r="G7" s="82" t="str">
        <x:v>Linked awareness, attribution, recall and experience data identifying a different failure point.</x:v>
      </x:c>
      <x:c r="H7" s="82" t="str">
        <x:v>S06;S10;S15;S16;S28;S29;S30</x:v>
      </x:c>
    </x:row>
    <x:row r="8">
      <x:c r="A8" s="82" t="str">
        <x:v>C04</x:v>
      </x:c>
      <x:c r="B8" s="82" t="str">
        <x:v>Holt does not have a demonstrated generic public-communication failure.</x:v>
      </x:c>
      <x:c r="C8" s="82" t="str">
        <x:v>Inference</x:v>
      </x:c>
      <x:c r="D8" s="82" t="str">
        <x:v>Communication rating declined less than overall/leader ratings; wildfires received clear credit.</x:v>
      </x:c>
      <x:c r="E8" s="82" t="str">
        <x:v>Medium</x:v>
      </x:c>
      <x:c r="F8" s="82" t="str">
        <x:v>Available communication questions are broad and may miss channel or message failures.</x:v>
      </x:c>
      <x:c r="G8" s="82" t="str">
        <x:v>Experimental exposure/comprehension evidence showing a broad transmission failure.</x:v>
      </x:c>
      <x:c r="H8" s="82" t="str">
        <x:v>S06;S39</x:v>
      </x:c>
    </x:row>
    <x:row r="9">
      <x:c r="A9" s="82" t="str">
        <x:v>C05</x:v>
      </x:c>
      <x:c r="B9" s="82" t="str">
        <x:v>Policy implementation is substantial, but population outcomes are mixed and causal effectiveness is mostly premature.</x:v>
      </x:c>
      <x:c r="C9" s="82" t="str">
        <x:v>Descriptive assessment</x:v>
      </x:c>
      <x:c r="D9" s="82" t="str">
        <x:v>Clinics, rebates, housing starts and school breakfast are operational; health access and education outcomes remain mixed.</x:v>
      </x:c>
      <x:c r="E9" s="82" t="str">
        <x:v>High on implementation; low on causality</x:v>
      </x:c>
      <x:c r="F9" s="82" t="str">
        <x:v>Some programs may already have local effects not visible in province-wide indicators.</x:v>
      </x:c>
      <x:c r="G9" s="82" t="str">
        <x:v>Credible counterfactual evaluations showing broad outcome gains.</x:v>
      </x:c>
      <x:c r="H9" s="82" t="str">
        <x:v>S10;S13;S15;S16;S17</x:v>
      </x:c>
    </x:row>
    <x:row r="10">
      <x:c r="A10" s="82" t="str">
        <x:v>C06</x:v>
      </x:c>
      <x:c r="B10" s="82" t="str">
        <x:v>The annual balanced-budget promise is missed and off trajectory.</x:v>
      </x:c>
      <x:c r="C10" s="82" t="str">
        <x:v>Verified outcome</x:v>
      </x:c>
      <x:c r="D10" s="82" t="str">
        <x:v>$104.4m actual 2024-25 deficit; $1.33b projected 2025-26 and $1.39b budgeted 2026-27 deficits.</x:v>
      </x:c>
      <x:c r="E10" s="82" t="str">
        <x:v>High</x:v>
      </x:c>
      <x:c r="F10" s="82" t="str">
        <x:v>2024-25 was partly inherited and exceptional pressures affected later years.</x:v>
      </x:c>
      <x:c r="G10" s="82" t="str">
        <x:v>None for already completed 2024-25; a credible balance path could change forward assessment only.</x:v>
      </x:c>
      <x:c r="H10" s="82" t="str">
        <x:v>S19;S20;S21</x:v>
      </x:c>
    </x:row>
    <x:row r="11">
      <x:c r="A11" s="82" t="str">
        <x:v>C07</x:v>
      </x:c>
      <x:c r="B11" s="82" t="str">
        <x:v>Broad senior civil-service unhappiness is not established by public evidence.</x:v>
      </x:c>
      <x:c r="C11" s="82" t="str">
        <x:v>Non-finding</x:v>
      </x:c>
      <x:c r="D11" s="82" t="str">
        <x:v>No representative morale, exit or executive-turnover dataset exists; named leadership movements mostly show internal continuity.</x:v>
      </x:c>
      <x:c r="E11" s="82" t="str">
        <x:v>High</x:v>
      </x:c>
      <x:c r="F11" s="82" t="str">
        <x:v>Private reports may be early signals not yet observable in lagging public records.</x:v>
      </x:c>
      <x:c r="G11" s="82" t="str">
        <x:v>Representative survey plus independent multi-department capacity deterioration.</x:v>
      </x:c>
      <x:c r="H11" s="82" t="str">
        <x:v>S23;S24;S25;S42</x:v>
      </x:c>
    </x:row>
    <x:row r="12">
      <x:c r="A12" s="82" t="str">
        <x:v>C08</x:v>
      </x:c>
      <x:c r="B12" s="82" t="str">
        <x:v>Administrative health is mixed/amber because objective strain mechanisms exist.</x:v>
      </x:c>
      <x:c r="C12" s="82" t="str">
        <x:v>Inference</x:v>
      </x:c>
      <x:c r="D12" s="82" t="str">
        <x:v>12% reduction, dual-hatting, RTIPPA capacity shortfalls and an AG staffing-related reporting failure.</x:v>
      </x:c>
      <x:c r="E12" s="82" t="str">
        <x:v>Moderate</x:v>
      </x:c>
      <x:c r="F12" s="82" t="str">
        <x:v>Attrition and modernization may reduce staffing without service harm.</x:v>
      </x:c>
      <x:c r="G12" s="82" t="str">
        <x:v>Stable service standards, workloads, vacancies and employee engagement through implementation.</x:v>
      </x:c>
      <x:c r="H12" s="82" t="str">
        <x:v>S22;S25;S26;S27</x:v>
      </x:c>
    </x:row>
    <x:row r="13">
      <x:c r="A13" s="82" t="str">
        <x:v>C09</x:v>
      </x:c>
      <x:c r="B13" s="82" t="str">
        <x:v>A broad French-language communication failure is not supported by available broad indicators, but language reception is unmeasured.</x:v>
      </x:c>
      <x:c r="C13" s="82" t="str">
        <x:v>Descriptive non-finding</x:v>
      </x:c>
      <x:c r="D13" s="82" t="str">
        <x:v>Formal bilingual supply, northern strength and a small rural-Francophone polling cell do not show a broad deficit.</x:v>
      </x:c>
      <x:c r="E13" s="82" t="str">
        <x:v>Low-medium</x:v>
      </x:c>
      <x:c r="F13" s="82" t="str">
        <x:v>Region is not language, supply is not reception and the relevant subsample is small.</x:v>
      </x:c>
      <x:c r="G13" s="82" t="str">
        <x:v>Large language-stratified awareness/trust study showing a French gap.</x:v>
      </x:c>
      <x:c r="H13" s="82" t="str">
        <x:v>S06;S07</x:v>
      </x:c>
    </x:row>
    <x:row r="14">
      <x:c r="A14" s="82" t="str">
        <x:v>C10</x:v>
      </x:c>
      <x:c r="B14" s="82" t="str">
        <x:v>The majority firewall is shallower than the 10.2-point province-wide lead suggests.</x:v>
      </x:c>
      <x:c r="C14" s="82" t="str">
        <x:v>Deterministic stress test</x:v>
      </x:c>
      <x:c r="D14" s="82" t="str">
        <x:v>Three Liberal seats flip with under two points of adverse L-PC margin movement; six losses remove majority at about a two-point remaining lead.</x:v>
      </x:c>
      <x:c r="E14" s="82" t="str">
        <x:v>Moderate for model mechanics</x:v>
      </x:c>
      <x:c r="F14" s="82" t="str">
        <x:v>Regional and local effects could move different seats and Green concentration is simplified.</x:v>
      </x:c>
      <x:c r="G14" s="82" t="str">
        <x:v>Regional polls and local results showing these seats are materially safer.</x:v>
      </x:c>
      <x:c r="H14" s="82" t="str">
        <x:v>S01;S42</x:v>
      </x:c>
    </x:row>
    <x:row r="15">
      <x:c r="A15" s="82" t="str">
        <x:v>C11</x:v>
      </x:c>
      <x:c r="B15" s="82" t="str">
        <x:v>New Brunswick history does not support a calibrated 2028 re-election probability.</x:v>
      </x:c>
      <x:c r="C15" s="82" t="str">
        <x:v>Model stop rule</x:v>
      </x:c>
      <x:c r="D15" s="82" t="str">
        <x:v>Only three comparable scheduled-term endpoint cases with incomplete mid-mandate polling; no validated Canadian provincial model assembled.</x:v>
      </x:c>
      <x:c r="E15" s="82" t="str">
        <x:v>High</x:v>
      </x:c>
      <x:c r="F15" s="82" t="str">
        <x:v>A broader Canadian dataset could eventually support partial pooling.</x:v>
      </x:c>
      <x:c r="G15" s="82" t="str">
        <x:v>A preregistered model that beats simple benchmarks in leave-one-government/province-out hindcasts.</x:v>
      </x:c>
      <x:c r="H15" s="82" t="str">
        <x:v>S42</x:v>
      </x:c>
    </x:row>
    <x:row r="16">
      <x:c r="A16" s="83" t="str">
        <x:v>C12</x:v>
      </x:c>
      <x:c r="B16" s="83" t="str">
        <x:v>The most consistent current path is Liberal retention through coalition breadth and opposition shelter, conditional on avoiding further trust and regional erosion.</x:v>
      </x:c>
      <x:c r="C16" s="83" t="str">
        <x:v>Conditional path, not probability</x:v>
      </x:c>
      <x:c r="D16" s="83" t="str">
        <x:v>Current leads in all three polls, North/South breadth, weak PC ratings and unknown leadership candidates.</x:v>
      </x:c>
      <x:c r="E16" s="83" t="str">
        <x:v>Moderate</x:v>
      </x:c>
      <x:c r="F16" s="83" t="str">
        <x:v>Leadership consolidation plus modest Saint John/Central movement can remove the majority.</x:v>
      </x:c>
      <x:c r="G16" s="83" t="str">
        <x:v>Post-leadership PC gains, issue-ownership shift and replicated firewall erosion.</x:v>
      </x:c>
      <x:c r="H16" s="83" t="str">
        <x:v>S06;S07;S08</x:v>
      </x:c>
    </x:row>
    <x:row r="17">
      <x:c r="A17" s="184"/>
      <x:c r="B17" s="184"/>
      <x:c r="C17" s="184"/>
      <x:c r="D17" s="184"/>
      <x:c r="E17" s="184"/>
      <x:c r="F17" s="184"/>
      <x:c r="G17" s="184"/>
      <x:c r="H17" s="184"/>
    </x:row>
    <x:row r="18">
      <x:c r="A18" s="184"/>
      <x:c r="B18" s="184"/>
      <x:c r="C18" s="184"/>
      <x:c r="D18" s="184"/>
      <x:c r="E18" s="184"/>
      <x:c r="F18" s="184"/>
      <x:c r="G18" s="184"/>
      <x:c r="H18" s="184"/>
    </x:row>
    <x:row r="19">
      <x:c r="A19" s="185" t="str">
        <x:v>Ecological identification bounds</x:v>
      </x:c>
      <x:c r="B19" s="186"/>
      <x:c r="C19" s="186"/>
      <x:c r="D19" s="186"/>
      <x:c r="E19" s="186"/>
      <x:c r="F19" s="186"/>
      <x:c r="G19" s="186"/>
      <x:c r="H19" s="187"/>
    </x:row>
    <x:row r="20" ht="30" customHeight="1">
      <x:c r="A20" s="206" t="str">
        <x:v>Quantity</x:v>
      </x:c>
      <x:c r="B20" s="207" t="str">
        <x:v>Lower</x:v>
      </x:c>
      <x:c r="C20" s="207" t="str">
        <x:v>Upper</x:v>
      </x:c>
      <x:c r="D20" s="207" t="str">
        <x:v>Unit</x:v>
      </x:c>
      <x:c r="E20" s="207" t="str">
        <x:v>Interpretation</x:v>
      </x:c>
      <x:c r="F20" s="208" t="str">
        <x:v>Identifiable?</x:v>
      </x:c>
      <x:c r="G20" s="184"/>
      <x:c r="H20" s="184"/>
    </x:row>
    <x:row r="21">
      <x:c r="A21" s="81" t="str">
        <x:v>2024 Liberal vote share</x:v>
      </x:c>
      <x:c r="B21" s="81" t="n">
        <x:v>48.259</x:v>
      </x:c>
      <x:c r="C21" s="81" t="n">
        <x:v>48.259</x:v>
      </x:c>
      <x:c r="D21" s="81" t="str">
        <x:v>% of valid vote</x:v>
      </x:c>
      <x:c r="E21" s="81" t="str">
        <x:v>Certified aggregate baseline</x:v>
      </x:c>
      <x:c r="F21" s="81" t="str">
        <x:v>Yes</x:v>
      </x:c>
      <x:c r="G21" s="184"/>
      <x:c r="H21" s="184"/>
    </x:row>
    <x:row r="22">
      <x:c r="A22" s="82" t="str">
        <x:v>Current Liberal share</x:v>
      </x:c>
      <x:c r="B22" s="82" t="n">
        <x:v>43.154</x:v>
      </x:c>
      <x:c r="C22" s="82" t="n">
        <x:v>43.154</x:v>
      </x:c>
      <x:c r="D22" s="82" t="str">
        <x:v>% decided-voter recency benchmark</x:v>
      </x:c>
      <x:c r="E22" s="82" t="str">
        <x:v>Weighted current polling benchmark; no interval</x:v>
      </x:c>
      <x:c r="F22" s="82" t="str">
        <x:v>Benchmark only</x:v>
      </x:c>
      <x:c r="G22" s="184"/>
      <x:c r="H22" s="184"/>
    </x:row>
    <x:row r="23">
      <x:c r="A23" s="82" t="str">
        <x:v>Net aggregate Liberal change</x:v>
      </x:c>
      <x:c r="B23" s="82" t="n">
        <x:v>-5.104</x:v>
      </x:c>
      <x:c r="C23" s="82" t="n">
        <x:v>-5.104</x:v>
      </x:c>
      <x:c r="D23" s="82" t="str">
        <x:v>percentage points</x:v>
      </x:c>
      <x:c r="E23" s="82" t="str">
        <x:v>Does not identify individual retention or defection</x:v>
      </x:c>
      <x:c r="F23" s="82" t="str">
        <x:v>Yes, aggregate only</x:v>
      </x:c>
      <x:c r="G23" s="184"/>
      <x:c r="H23" s="184"/>
    </x:row>
    <x:row r="24">
      <x:c r="A24" s="82" t="str">
        <x:v>Share of 2024 Liberal voters still Liberal</x:v>
      </x:c>
      <x:c r="B24" s="82" t="n">
        <x:v>0</x:v>
      </x:c>
      <x:c r="C24" s="82" t="n">
        <x:v>89.425</x:v>
      </x:c>
      <x:c r="D24" s="82" t="str">
        <x:v>% of 2024 Liberal voters</x:v>
      </x:c>
      <x:c r="E24" s="82" t="str">
        <x:v>Ecological bounds are too wide because current Liberals may include recruits</x:v>
      </x:c>
      <x:c r="F24" s="82" t="str">
        <x:v>No microdata</x:v>
      </x:c>
      <x:c r="G24" s="184"/>
      <x:c r="H24" s="184"/>
    </x:row>
    <x:row r="25">
      <x:c r="A25" s="82" t="str">
        <x:v>Direct 2024 Liberal-to-PC movement</x:v>
      </x:c>
      <x:c r="B25" s="82" t="n">
        <x:v>0</x:v>
      </x:c>
      <x:c r="C25" s="82" t="n">
        <x:v>32.965</x:v>
      </x:c>
      <x:c r="D25" s="82" t="str">
        <x:v>points of electorate</x:v>
      </x:c>
      <x:c r="E25" s="82" t="str">
        <x:v>Logical aggregate bound only; substantively uninformative</x:v>
      </x:c>
      <x:c r="F25" s="82" t="str">
        <x:v>No microdata</x:v>
      </x:c>
      <x:c r="G25" s="184"/>
      <x:c r="H25" s="184"/>
    </x:row>
    <x:row r="26">
      <x:c r="A26" s="83" t="str">
        <x:v>Current Liberal supporters approving government</x:v>
      </x:c>
      <x:c r="B26" s="83" t="n">
        <x:v>74</x:v>
      </x:c>
      <x:c r="C26" s="83" t="n">
        <x:v>74</x:v>
      </x:c>
      <x:c r="D26" s="83" t="str">
        <x:v>%</x:v>
      </x:c>
      <x:c r="E26" s="83" t="str">
        <x:v>Same-poll current cross-tab; not a 2024 transition</x:v>
      </x:c>
      <x:c r="F26" s="83" t="str">
        <x:v>Yes for current supporters</x:v>
      </x:c>
      <x:c r="G26" s="184"/>
      <x:c r="H26" s="184"/>
    </x:row>
    <x:row r="27">
      <x:c r="A27" s="184"/>
      <x:c r="B27" s="184"/>
      <x:c r="C27" s="184"/>
      <x:c r="D27" s="184"/>
      <x:c r="E27" s="184"/>
      <x:c r="F27" s="184"/>
      <x:c r="G27" s="184"/>
      <x:c r="H27" s="184"/>
    </x:row>
    <x:row r="28">
      <x:c r="A28" s="184"/>
      <x:c r="B28" s="184"/>
      <x:c r="C28" s="184"/>
      <x:c r="D28" s="184"/>
      <x:c r="E28" s="184"/>
      <x:c r="F28" s="184"/>
      <x:c r="G28" s="184"/>
      <x:c r="H28" s="184"/>
    </x:row>
    <x:row r="29">
      <x:c r="A29" s="185" t="str">
        <x:v>Corrections and audit trail</x:v>
      </x:c>
      <x:c r="B29" s="186"/>
      <x:c r="C29" s="186"/>
      <x:c r="D29" s="186"/>
      <x:c r="E29" s="186"/>
      <x:c r="F29" s="186"/>
      <x:c r="G29" s="186"/>
      <x:c r="H29" s="187"/>
    </x:row>
    <x:row r="30" ht="30" customHeight="1">
      <x:c r="A30" s="206" t="str">
        <x:v>Item</x:v>
      </x:c>
      <x:c r="B30" s="207" t="str">
        <x:v>Prior value</x:v>
      </x:c>
      <x:c r="C30" s="207" t="str">
        <x:v>Corrected value</x:v>
      </x:c>
      <x:c r="D30" s="207" t="str">
        <x:v>Reason</x:v>
      </x:c>
      <x:c r="E30" s="207" t="str">
        <x:v>Effect</x:v>
      </x:c>
      <x:c r="F30" s="208" t="str">
        <x:v>Status</x:v>
      </x:c>
      <x:c r="G30" s="184"/>
      <x:c r="H30" s="184"/>
    </x:row>
    <x:row r="31">
      <x:c r="A31" s="81" t="str">
        <x:v>2024 riding table valid-vote reconciliation</x:v>
      </x:c>
      <x:c r="B31" s="81" t="str">
        <x:v>Riding-table total included 162 votes for a withdrawn NDP candidate</x:v>
      </x:c>
      <x:c r="C31" s="81" t="str">
        <x:v>Official valid total 374,661; 162 withdrawn-candidate votes excluded</x:v>
      </x:c>
      <x:c r="D31" s="81" t="str">
        <x:v>Elections NB treats those votes outside official party/valid totals</x:v>
      </x:c>
      <x:c r="E31" s="81" t="str">
        <x:v>No effect on three-party seat model</x:v>
      </x:c>
      <x:c r="F31" s="81" t="str">
        <x:v>Carried forward from prior QA</x:v>
      </x:c>
      <x:c r="G31" s="184"/>
      <x:c r="H31" s="184"/>
    </x:row>
    <x:row r="32">
      <x:c r="A32" s="82" t="str">
        <x:v>Narrative June 2026 vote basis</x:v>
      </x:c>
      <x:c r="B32" s="82" t="str">
        <x:v>Headline all-eligible values</x:v>
      </x:c>
      <x:c r="C32" s="82" t="str">
        <x:v>Derived decided normalization L 40.58, PC 30.43, G 13.04 from rounded party denominator 69</x:v>
      </x:c>
      <x:c r="D32" s="82" t="str">
        <x:v>Make basis comparable while flagging approximation</x:v>
      </x:c>
      <x:c r="E32" s="82" t="str">
        <x:v>Included only with derived-base warning</x:v>
      </x:c>
      <x:c r="F32" s="82" t="str">
        <x:v>Carried forward</x:v>
      </x:c>
      <x:c r="G32" s="184"/>
      <x:c r="H32" s="184"/>
    </x:row>
    <x:row r="33">
      <x:c r="A33" s="82" t="str">
        <x:v>Narrative satisfaction series</x:v>
      </x:c>
      <x:c r="B33" s="82" t="str">
        <x:v>Could appear continuous</x:v>
      </x:c>
      <x:c r="C33" s="82" t="str">
        <x:v>2026 online-panel wave separated from earlier telephone probability waves</x:v>
      </x:c>
      <x:c r="D33" s="82" t="str">
        <x:v>Mode break</x:v>
      </x:c>
      <x:c r="E33" s="82" t="str">
        <x:v>No causal trend claim</x:v>
      </x:c>
      <x:c r="F33" s="82" t="str">
        <x:v>Carried forward</x:v>
      </x:c>
      <x:c r="G33" s="184"/>
      <x:c r="H33" s="184"/>
    </x:row>
    <x:row r="34">
      <x:c r="A34" s="82" t="str">
        <x:v>2028 re-election probability</x:v>
      </x:c>
      <x:c r="B34" s="82" t="str">
        <x:v>No estimate</x:v>
      </x:c>
      <x:c r="C34" s="82" t="str">
        <x:v>No estimate</x:v>
      </x:c>
      <x:c r="D34" s="82" t="str">
        <x:v>No validated broader model and historical endpoint sample remains too small</x:v>
      </x:c>
      <x:c r="E34" s="82" t="str">
        <x:v>Conditional paths and boundaries only</x:v>
      </x:c>
      <x:c r="F34" s="82" t="str">
        <x:v>Confirmed</x:v>
      </x:c>
      <x:c r="G34" s="184"/>
      <x:c r="H34" s="184"/>
    </x:row>
    <x:row r="35">
      <x:c r="A35" s="82" t="str">
        <x:v>Civil-service unhappiness</x:v>
      </x:c>
      <x:c r="B35" s="82" t="str">
        <x:v>Private reports only</x:v>
      </x:c>
      <x:c r="C35" s="82" t="str">
        <x:v>Morale coded UNOBSERVED; administrative health MIXED/AMBER</x:v>
      </x:c>
      <x:c r="D35" s="82" t="str">
        <x:v>No representative direct measure; bounded strain mechanisms found</x:v>
      </x:c>
      <x:c r="E35" s="82" t="str">
        <x:v>Excluded from election model</x:v>
      </x:c>
      <x:c r="F35" s="82" t="str">
        <x:v>New audit finding</x:v>
      </x:c>
      <x:c r="G35" s="184"/>
      <x:c r="H35" s="184"/>
    </x:row>
    <x:row r="36">
      <x:c r="A36" s="82" t="str">
        <x:v>Abacus August 2026 Green value in report</x:v>
      </x:c>
      <x:c r="B36" s="82" t="str">
        <x:v>13.0%</x:v>
      </x:c>
      <x:c r="C36" s="82" t="str">
        <x:v>14.0%</x:v>
      </x:c>
      <x:c r="D36" s="82" t="str">
        <x:v>Original release and model inputs report 14%; 13% was a transcription error</x:v>
      </x:c>
      <x:c r="E36" s="82" t="str">
        <x:v>No seat or benchmark change; seat row already used 14%</x:v>
      </x:c>
      <x:c r="F36" s="82" t="str">
        <x:v>Corrected in final QA</x:v>
      </x:c>
      <x:c r="G36" s="184"/>
      <x:c r="H36" s="184"/>
    </x:row>
    <x:row r="37">
      <x:c r="A37" s="82" t="str">
        <x:v>Historical window sensitivity</x:v>
      </x:c>
      <x:c r="B37" s="82" t="str">
        <x:v>Conclusion described as unchanged under plus/minus 30, 60 and 90 days</x:v>
      </x:c>
      <x:c r="C37" s="82" t="str">
        <x:v>Offsets and source grades disclosed; no symmetric-window robustness claim</x:v>
      </x:c>
      <x:c r="D37" s="82" t="str">
        <x:v>Alward and Higgs fall outside plus/minus 30 days and Graham exact field dates are not found</x:v>
      </x:c>
      <x:c r="E37" s="82" t="str">
        <x:v>Historical cases remain descriptive with stronger coverage caveat</x:v>
      </x:c>
      <x:c r="F37" s="82" t="str">
        <x:v>Corrected in final QA</x:v>
      </x:c>
      <x:c r="G37" s="184"/>
      <x:c r="H37" s="184"/>
    </x:row>
    <x:row r="38">
      <x:c r="A38" s="82" t="str">
        <x:v>Communications mechanism</x:v>
      </x:c>
      <x:c r="B38" s="82" t="str">
        <x:v>Credit-conversion diagnosis stated as best-supported</x:v>
      </x:c>
      <x:c r="C38" s="82" t="str">
        <x:v>Implementation-to-public-evaluation gap observed; credit conversion and mandate compression are leading hypotheses</x:v>
      </x:c>
      <x:c r="D38" s="82" t="str">
        <x:v>Awareness, attribution, comprehension, adequacy and lived experience were not jointly measured; no significance test</x:v>
      </x:c>
      <x:c r="E38" s="82" t="str">
        <x:v>Confidence reduced to medium; direct measurement gate added</x:v>
      </x:c>
      <x:c r="F38" s="82" t="str">
        <x:v>Corrected in final QA</x:v>
      </x:c>
      <x:c r="G38" s="184"/>
      <x:c r="H38" s="184"/>
    </x:row>
    <x:row r="39">
      <x:c r="A39" s="83" t="str">
        <x:v>Promise-stage audit label</x:v>
      </x:c>
      <x:c r="B39" s="83" t="str">
        <x:v>Independent stage audit</x:v>
      </x:c>
      <x:c r="C39" s="83" t="str">
        <x:v>Analyst-coded public-evidence audit</x:v>
      </x:c>
      <x:c r="D39" s="83" t="str">
        <x:v>Most stage inputs originate in government trackers and releases</x:v>
      </x:c>
      <x:c r="E39" s="83" t="str">
        <x:v>Clarifies that coding is not an independent effectiveness evaluation</x:v>
      </x:c>
      <x:c r="F39" s="83" t="str">
        <x:v>Corrected in final QA</x:v>
      </x:c>
      <x:c r="G39" s="184"/>
      <x:c r="H39" s="184"/>
    </x:row>
  </x:sheetData>
  <x:mergeCells>
    <x:mergeCell ref="A1:H1"/>
    <x:mergeCell ref="A2:H2"/>
    <x:mergeCell ref="A19:H19"/>
    <x:mergeCell ref="A29:H29"/>
  </x:mergeCells>
  <x:conditionalFormatting sqref="F31:F39">
    <x:cfRule type="expression" dxfId="19" priority="1">
      <x:formula>OR(ISNUMBER(SEARCH("GREEN",F31)),ISNUMBER(SEARCH("SUPPORTED",F31)),ISNUMBER(SEARCH("COMPLETE",F31)))</x:formula>
    </x:cfRule>
    <x:cfRule type="expression" dxfId="20" priority="2">
      <x:formula>OR(ISNUMBER(SEARCH("RED",F31)),ISNUMBER(SEARCH("MISSED",F31)),ISNUMBER(SEARCH("NOT SUPPORTED",F31)))</x:formula>
    </x:cfRule>
  </x:conditionalFormatting>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5"/>
  <x:cols>
    <x:col min="1" max="1" width="10" hidden="0" customWidth="1"/>
    <x:col min="2" max="2" width="54" hidden="0" customWidth="1"/>
    <x:col min="3" max="3" width="36" hidden="0" customWidth="1"/>
    <x:col min="4" max="4" width="14" hidden="0" customWidth="1"/>
    <x:col min="5" max="5" width="18" hidden="0" customWidth="1"/>
    <x:col min="6" max="6" width="86" hidden="0" customWidth="1"/>
    <x:col min="7" max="7" width="58" hidden="0" customWidth="1"/>
  </x:cols>
  <x:sheetData>
    <x:row r="1" ht="30" customHeight="1">
      <x:c r="A1" s="182" t="str">
        <x:v>Source ledger</x:v>
      </x:c>
      <x:c r="B1" s="182" t="str">
        <x:v>Source ledger</x:v>
      </x:c>
      <x:c r="C1" s="182" t="str">
        <x:v>Source ledger</x:v>
      </x:c>
      <x:c r="D1" s="182" t="str">
        <x:v>Source ledger</x:v>
      </x:c>
      <x:c r="E1" s="182" t="str">
        <x:v>Source ledger</x:v>
      </x:c>
      <x:c r="F1" s="182" t="str">
        <x:v>Source ledger</x:v>
      </x:c>
      <x:c r="G1" s="182" t="str">
        <x:v>Source ledger</x:v>
      </x:c>
    </x:row>
    <x:row r="2" ht="26" customHeight="1">
      <x:c r="A2" s="183" t="str">
        <x:v>Grades apply to the cited use. Original official, methodological and pollster sources are prioritized; derived rows are explicitly labelled.</x:v>
      </x:c>
      <x:c r="B2" s="183" t="str">
        <x:v>Grades apply to the cited use. Original official, methodological and pollster sources are prioritized; derived rows are explicitly labelled.</x:v>
      </x:c>
      <x:c r="C2" s="183" t="str">
        <x:v>Grades apply to the cited use. Original official, methodological and pollster sources are prioritized; derived rows are explicitly labelled.</x:v>
      </x:c>
      <x:c r="D2" s="183" t="str">
        <x:v>Grades apply to the cited use. Original official, methodological and pollster sources are prioritized; derived rows are explicitly labelled.</x:v>
      </x:c>
      <x:c r="E2" s="183" t="str">
        <x:v>Grades apply to the cited use. Original official, methodological and pollster sources are prioritized; derived rows are explicitly labelled.</x:v>
      </x:c>
      <x:c r="F2" s="183" t="str">
        <x:v>Grades apply to the cited use. Original official, methodological and pollster sources are prioritized; derived rows are explicitly labelled.</x:v>
      </x:c>
      <x:c r="G2" s="183" t="str">
        <x:v>Grades apply to the cited use. Original official, methodological and pollster sources are prioritized; derived rows are explicitly labelled.</x:v>
      </x:c>
    </x:row>
    <x:row r="3">
      <x:c r="A3" s="184"/>
      <x:c r="B3" s="184"/>
      <x:c r="C3" s="184"/>
      <x:c r="D3" s="184"/>
      <x:c r="E3" s="184"/>
      <x:c r="F3" s="184"/>
      <x:c r="G3" s="184"/>
    </x:row>
    <x:row r="4" ht="30" customHeight="1">
      <x:c r="A4" s="206" t="str">
        <x:v>ID</x:v>
      </x:c>
      <x:c r="B4" s="207" t="str">
        <x:v>Title</x:v>
      </x:c>
      <x:c r="C4" s="207" t="str">
        <x:v>Publisher</x:v>
      </x:c>
      <x:c r="D4" s="207" t="str">
        <x:v>Date</x:v>
      </x:c>
      <x:c r="E4" s="207" t="str">
        <x:v>Grade</x:v>
      </x:c>
      <x:c r="F4" s="207" t="str">
        <x:v>URL</x:v>
      </x:c>
      <x:c r="G4" s="208" t="str">
        <x:v>Use</x:v>
      </x:c>
    </x:row>
    <x:row r="5">
      <x:c r="A5" s="81" t="str">
        <x:v>S01</x:v>
      </x:c>
      <x:c r="B5" s="81" t="str">
        <x:v>Forty-First Provincial General Election report</x:v>
      </x:c>
      <x:c r="C5" s="81" t="str">
        <x:v>Elections New Brunswick</x:v>
      </x:c>
      <x:c r="D5" s="98" t="n">
        <x:v>45810.5</x:v>
      </x:c>
      <x:c r="E5" s="81" t="str">
        <x:v>A</x:v>
      </x:c>
      <x:c r="F5" s="81" t="str">
        <x:v>https://www.electionsnb.ca/content/dam/enb/pdf/october-21-2024-forty-first-provincial-general-election.pdf</x:v>
      </x:c>
      <x:c r="G5" s="81" t="str">
        <x:v>Certified 2024 votes, seats and riding results</x:v>
      </x:c>
    </x:row>
    <x:row r="6">
      <x:c r="A6" s="82" t="str">
        <x:v>S06</x:v>
      </x:c>
      <x:c r="B6" s="82" t="str">
        <x:v>Holt Liberals maintain strong lead as PCs search for new leader</x:v>
      </x:c>
      <x:c r="C6" s="82" t="str">
        <x:v>Abacus Data</x:v>
      </x:c>
      <x:c r="D6" s="99" t="n">
        <x:v>46248.5</x:v>
      </x:c>
      <x:c r="E6" s="82" t="str">
        <x:v>A-</x:v>
      </x:c>
      <x:c r="F6" s="82" t="str">
        <x:v>https://abacusdata.ca/holts-liberals-maintain-strong-lead-as-pcs-search-for-new-leader/</x:v>
      </x:c>
      <x:c r="G6" s="82" t="str">
        <x:v>Vote, approval, favourability, trust, issues and regions</x:v>
      </x:c>
    </x:row>
    <x:row r="7">
      <x:c r="A7" s="82" t="str">
        <x:v>S07</x:v>
      </x:c>
      <x:c r="B7" s="82" t="str">
        <x:v>First public semi-annual New Brunswick poll</x:v>
      </x:c>
      <x:c r="C7" s="82" t="str">
        <x:v>Porter O'Brien</x:v>
      </x:c>
      <x:c r="D7" s="99" t="n">
        <x:v>46196.5</x:v>
      </x:c>
      <x:c r="E7" s="82" t="str">
        <x:v>A</x:v>
      </x:c>
      <x:c r="F7" s="82" t="str">
        <x:v>https://www.porterobrien.com/post/porter-o-brien-releases-first-public-semi-annual-new-brunswick-poll-liberals-narrowly-lead-pcs-amo</x:v>
      </x:c>
      <x:c r="G7" s="82" t="str">
        <x:v>Vote and regional comparison</x:v>
      </x:c>
    </x:row>
    <x:row r="8">
      <x:c r="A8" s="82" t="str">
        <x:v>S08</x:v>
      </x:c>
      <x:c r="B8" s="82" t="str">
        <x:v>Low provincial government satisfaction levels reflected in voter intentions</x:v>
      </x:c>
      <x:c r="C8" s="82" t="str">
        <x:v>Narrative Research</x:v>
      </x:c>
      <x:c r="D8" s="99" t="n">
        <x:v>46205.5</x:v>
      </x:c>
      <x:c r="E8" s="82" t="str">
        <x:v>A</x:v>
      </x:c>
      <x:c r="F8" s="82" t="str">
        <x:v>https://narrativeresearch.ca/low-provincial-government-satisfaction-levels-reflected-in-voter-intentions-across-atlantic-canada/</x:v>
      </x:c>
      <x:c r="G8" s="82" t="str">
        <x:v>All-eligible vote and satisfaction</x:v>
      </x:c>
    </x:row>
    <x:row r="9">
      <x:c r="A9" s="82" t="str">
        <x:v>S09</x:v>
      </x:c>
      <x:c r="B9" s="82" t="str">
        <x:v>Premiers' performance June 2026</x:v>
      </x:c>
      <x:c r="C9" s="82" t="str">
        <x:v>Angus Reid Institute</x:v>
      </x:c>
      <x:c r="D9" s="99" t="n">
        <x:v>46186.5</x:v>
      </x:c>
      <x:c r="E9" s="82" t="str">
        <x:v>A</x:v>
      </x:c>
      <x:c r="F9" s="82" t="str">
        <x:v>https://angusreid.org/premiers-performance-june-2026/</x:v>
      </x:c>
      <x:c r="G9" s="82" t="str">
        <x:v>Holt approval; small NB subsample</x:v>
      </x:c>
    </x:row>
    <x:row r="10">
      <x:c r="A10" s="82" t="str">
        <x:v>S10</x:v>
      </x:c>
      <x:c r="B10" s="82" t="str">
        <x:v>Affordability and housing priority tracker</x:v>
      </x:c>
      <x:c r="C10" s="82" t="str">
        <x:v>Government of New Brunswick</x:v>
      </x:c>
      <x:c r="D10" s="99" t="n">
        <x:v>46185.5</x:v>
      </x:c>
      <x:c r="E10" s="82" t="str">
        <x:v>A</x:v>
      </x:c>
      <x:c r="F10" s="82" t="str">
        <x:v>https://www2.gnb.ca/content/gnb/en/corporate/promo/government-priorities/affordability-housing.html</x:v>
      </x:c>
      <x:c r="G10" s="82" t="str">
        <x:v>Commitment status and housing indicators</x:v>
      </x:c>
    </x:row>
    <x:row r="11">
      <x:c r="A11" s="82" t="str">
        <x:v>S11</x:v>
      </x:c>
      <x:c r="B11" s="82" t="str">
        <x:v>2025 progress report card</x:v>
      </x:c>
      <x:c r="C11" s="82" t="str">
        <x:v>Government of New Brunswick</x:v>
      </x:c>
      <x:c r="D11" s="99" t="n">
        <x:v>2026</x:v>
      </x:c>
      <x:c r="E11" s="82" t="str">
        <x:v>A</x:v>
      </x:c>
      <x:c r="F11" s="82" t="str">
        <x:v>https://www2.gnb.ca/content/gnb/en/corporate/promo/government-priorities/report-card.html</x:v>
      </x:c>
      <x:c r="G11" s="82" t="str">
        <x:v>Official targets, hits and misses</x:v>
      </x:c>
    </x:row>
    <x:row r="12">
      <x:c r="A12" s="82" t="str">
        <x:v>S12</x:v>
      </x:c>
      <x:c r="B12" s="82" t="str">
        <x:v>Economic development priority tracker</x:v>
      </x:c>
      <x:c r="C12" s="82" t="str">
        <x:v>Government of New Brunswick</x:v>
      </x:c>
      <x:c r="D12" s="99" t="n">
        <x:v>46185.5</x:v>
      </x:c>
      <x:c r="E12" s="82" t="str">
        <x:v>A</x:v>
      </x:c>
      <x:c r="F12" s="82" t="str">
        <x:v>https://www2.gnb.ca/content/gnb/en/corporate/promo/government-priorities/economic-development.html</x:v>
      </x:c>
      <x:c r="G12" s="82" t="str">
        <x:v>Economic commitments and indicators</x:v>
      </x:c>
    </x:row>
    <x:row r="13">
      <x:c r="A13" s="82" t="str">
        <x:v>S13</x:v>
      </x:c>
      <x:c r="B13" s="82" t="str">
        <x:v>Education priority tracker</x:v>
      </x:c>
      <x:c r="C13" s="82" t="str">
        <x:v>Government of New Brunswick</x:v>
      </x:c>
      <x:c r="D13" s="99" t="n">
        <x:v>46185.5</x:v>
      </x:c>
      <x:c r="E13" s="82" t="str">
        <x:v>A</x:v>
      </x:c>
      <x:c r="F13" s="82" t="str">
        <x:v>https://www2.gnb.ca/content/gnb/en/corporate/promo/government-priorities/education.html</x:v>
      </x:c>
      <x:c r="G13" s="82" t="str">
        <x:v>Education commitments and results</x:v>
      </x:c>
    </x:row>
    <x:row r="14">
      <x:c r="A14" s="82" t="str">
        <x:v>S14</x:v>
      </x:c>
      <x:c r="B14" s="82" t="str">
        <x:v>Environment priority tracker</x:v>
      </x:c>
      <x:c r="C14" s="82" t="str">
        <x:v>Government of New Brunswick</x:v>
      </x:c>
      <x:c r="D14" s="99" t="n">
        <x:v>46185.5</x:v>
      </x:c>
      <x:c r="E14" s="82" t="str">
        <x:v>A</x:v>
      </x:c>
      <x:c r="F14" s="82" t="str">
        <x:v>https://www2.gnb.ca/content/gnb/en/corporate/promo/government-priorities/environment.html</x:v>
      </x:c>
      <x:c r="G14" s="82" t="str">
        <x:v>Environmental commitments and results</x:v>
      </x:c>
    </x:row>
    <x:row r="15">
      <x:c r="A15" s="82" t="str">
        <x:v>S15</x:v>
      </x:c>
      <x:c r="B15" s="82" t="str">
        <x:v>Province reaches midway point of collaborative-care clinic commitment</x:v>
      </x:c>
      <x:c r="C15" s="82" t="str">
        <x:v>Government of New Brunswick</x:v>
      </x:c>
      <x:c r="D15" s="99" t="n">
        <x:v>46146.5</x:v>
      </x:c>
      <x:c r="E15" s="82" t="str">
        <x:v>A</x:v>
      </x:c>
      <x:c r="F15" s="82" t="str">
        <x:v>https://www.gnb.ca/en/news/n-b.2026.05.province-reaches-midway-point-collaborative-care-clinic-commitment.html</x:v>
      </x:c>
      <x:c r="G15" s="82" t="str">
        <x:v>Clinic count and local reach</x:v>
      </x:c>
    </x:row>
    <x:row r="16">
      <x:c r="A16" s="82" t="str">
        <x:v>S16</x:v>
      </x:c>
      <x:c r="B16" s="82" t="str">
        <x:v>Government provides update on health-care system</x:v>
      </x:c>
      <x:c r="C16" s="82" t="str">
        <x:v>Government of New Brunswick</x:v>
      </x:c>
      <x:c r="D16" s="99" t="n">
        <x:v>46141.5</x:v>
      </x:c>
      <x:c r="E16" s="82" t="str">
        <x:v>A</x:v>
      </x:c>
      <x:c r="F16" s="82" t="str">
        <x:v>https://www.gnb.ca/en/news/n-b.2026.04.government-provides-update-health-care-system.html</x:v>
      </x:c>
      <x:c r="G16" s="82" t="str">
        <x:v>Attachments, workforce and program outputs</x:v>
      </x:c>
    </x:row>
    <x:row r="17">
      <x:c r="A17" s="82" t="str">
        <x:v>S17</x:v>
      </x:c>
      <x:c r="B17" s="82" t="str">
        <x:v>New Brunswick Primary Care in 2025: Access, Experience and Equity</x:v>
      </x:c>
      <x:c r="C17" s="82" t="str">
        <x:v>New Brunswick Health Council</x:v>
      </x:c>
      <x:c r="D17" s="99" t="n">
        <x:v>46196.5</x:v>
      </x:c>
      <x:c r="E17" s="82" t="str">
        <x:v>A</x:v>
      </x:c>
      <x:c r="F17" s="82" t="str">
        <x:v>https://nbhc.ca/nb-primarycare2025-access-experience-equity</x:v>
      </x:c>
      <x:c r="G17" s="82" t="str">
        <x:v>Independent primary-care outcomes</x:v>
      </x:c>
    </x:row>
    <x:row r="18">
      <x:c r="A18" s="82" t="str">
        <x:v>S18</x:v>
      </x:c>
      <x:c r="B18" s="82" t="str">
        <x:v>2025 Primary Care Survey</x:v>
      </x:c>
      <x:c r="C18" s="82" t="str">
        <x:v>New Brunswick Health Council</x:v>
      </x:c>
      <x:c r="D18" s="99" t="n">
        <x:v>46196.5</x:v>
      </x:c>
      <x:c r="E18" s="82" t="str">
        <x:v>A</x:v>
      </x:c>
      <x:c r="F18" s="82" t="str">
        <x:v>https://nbhc.ca/surveys/2025-primary-care-survey</x:v>
      </x:c>
      <x:c r="G18" s="82" t="str">
        <x:v>Survey timing and sample</x:v>
      </x:c>
    </x:row>
    <x:row r="19">
      <x:c r="A19" s="82" t="str">
        <x:v>S19</x:v>
      </x:c>
      <x:c r="B19" s="82" t="str">
        <x:v>Disclosure L-003: Balanced budgets</x:v>
      </x:c>
      <x:c r="C19" s="82" t="str">
        <x:v>New Brunswick Liberal Association</x:v>
      </x:c>
      <x:c r="D19" s="99" t="n">
        <x:v>45554.5</x:v>
      </x:c>
      <x:c r="E19" s="82" t="str">
        <x:v>A</x:v>
      </x:c>
      <x:c r="F19" s="82" t="str">
        <x:v>https://nbliberal.ca/wp-content/uploads/disclosure-l-003-balanced-budgets-1.pdf</x:v>
      </x:c>
      <x:c r="G19" s="82" t="str">
        <x:v>Exact election promise</x:v>
      </x:c>
    </x:row>
    <x:row r="20">
      <x:c r="A20" s="82" t="str">
        <x:v>S20</x:v>
      </x:c>
      <x:c r="B20" s="82" t="str">
        <x:v>Public accounts for 2024-25</x:v>
      </x:c>
      <x:c r="C20" s="82" t="str">
        <x:v>Government of New Brunswick</x:v>
      </x:c>
      <x:c r="D20" s="99" t="n">
        <x:v>45929.5</x:v>
      </x:c>
      <x:c r="E20" s="82" t="str">
        <x:v>A</x:v>
      </x:c>
      <x:c r="F20" s="82" t="str">
        <x:v>https://www.gnb.ca/en/news/n-b.2025.09.public-accounts-for-2024-25.html</x:v>
      </x:c>
      <x:c r="G20" s="82" t="str">
        <x:v>Actual deficit and net debt</x:v>
      </x:c>
    </x:row>
    <x:row r="21">
      <x:c r="A21" s="82" t="str">
        <x:v>S21</x:v>
      </x:c>
      <x:c r="B21" s="82" t="str">
        <x:v>Budget 2026-27 and Main Estimates</x:v>
      </x:c>
      <x:c r="C21" s="82" t="str">
        <x:v>Government of New Brunswick</x:v>
      </x:c>
      <x:c r="D21" s="99" t="n">
        <x:v>46098.5</x:v>
      </x:c>
      <x:c r="E21" s="82" t="str">
        <x:v>A</x:v>
      </x:c>
      <x:c r="F21" s="82" t="str">
        <x:v>https://www.gnb.ca/content/dam/GNB3/gov/budget/docs/main-estimates-budget-principal-2026-2027.pdf</x:v>
      </x:c>
      <x:c r="G21" s="82" t="str">
        <x:v>Budget, deficit and departmental estimates</x:v>
      </x:c>
    </x:row>
    <x:row r="22">
      <x:c r="A22" s="82" t="str">
        <x:v>S22</x:v>
      </x:c>
      <x:c r="B22" s="82" t="str">
        <x:v>Budget 2026-27: Putting New Brunswickers first</x:v>
      </x:c>
      <x:c r="C22" s="82" t="str">
        <x:v>Government of New Brunswick</x:v>
      </x:c>
      <x:c r="D22" s="99" t="n">
        <x:v>46098.5</x:v>
      </x:c>
      <x:c r="E22" s="82" t="str">
        <x:v>A</x:v>
      </x:c>
      <x:c r="F22" s="82" t="str">
        <x:v>https://www.gnb.ca/en/news/n-b.2026.03.budget-2026-27-putting-new-brunswickers-first.html</x:v>
      </x:c>
      <x:c r="G22" s="82" t="str">
        <x:v>12% Part I plan and major investments</x:v>
      </x:c>
    </x:row>
    <x:row r="23">
      <x:c r="A23" s="82" t="str">
        <x:v>S23</x:v>
      </x:c>
      <x:c r="B23" s="82" t="str">
        <x:v>Premier announces senior leadership changes and retirements</x:v>
      </x:c>
      <x:c r="C23" s="82" t="str">
        <x:v>Government of New Brunswick</x:v>
      </x:c>
      <x:c r="D23" s="99" t="n">
        <x:v>45747.5</x:v>
      </x:c>
      <x:c r="E23" s="82" t="str">
        <x:v>A</x:v>
      </x:c>
      <x:c r="F23" s="82" t="str">
        <x:v>https://www.gnb.ca/en/news/n-b.2025.03.revised-2f-premier-announces-senior-leadership-changes-and-retirements.html</x:v>
      </x:c>
      <x:c r="G23" s="82" t="str">
        <x:v>Leadership roster and movements</x:v>
      </x:c>
    </x:row>
    <x:row r="24">
      <x:c r="A24" s="82" t="str">
        <x:v>S24</x:v>
      </x:c>
      <x:c r="B24" s="82" t="str">
        <x:v>Senior government leadership changes</x:v>
      </x:c>
      <x:c r="C24" s="82" t="str">
        <x:v>Government of New Brunswick</x:v>
      </x:c>
      <x:c r="D24" s="99" t="n">
        <x:v>45898.5</x:v>
      </x:c>
      <x:c r="E24" s="82" t="str">
        <x:v>A</x:v>
      </x:c>
      <x:c r="F24" s="82" t="str">
        <x:v>https://www.gnb.ca/en/news/n-b.2025.08.senior-government-leadership-changes.html</x:v>
      </x:c>
      <x:c r="G24" s="82" t="str">
        <x:v>Clerk and acting appointments</x:v>
      </x:c>
    </x:row>
    <x:row r="25">
      <x:c r="A25" s="82" t="str">
        <x:v>S25</x:v>
      </x:c>
      <x:c r="B25" s="82" t="str">
        <x:v>Senior government leadership changes</x:v>
      </x:c>
      <x:c r="C25" s="82" t="str">
        <x:v>Government of New Brunswick</x:v>
      </x:c>
      <x:c r="D25" s="99" t="n">
        <x:v>46139.5</x:v>
      </x:c>
      <x:c r="E25" s="82" t="str">
        <x:v>A</x:v>
      </x:c>
      <x:c r="F25" s="82" t="str">
        <x:v>https://www.gnb.ca/en/news/n-b.2026.04.senior-government-leadership-changes-0208.html</x:v>
      </x:c>
      <x:c r="G25" s="82" t="str">
        <x:v>Reform portfolio, dual-hatting and retirements</x:v>
      </x:c>
    </x:row>
    <x:row r="26">
      <x:c r="A26" s="82" t="str">
        <x:v>S26</x:v>
      </x:c>
      <x:c r="B26" s="82" t="str">
        <x:v>Right to Information and Protection of Privacy Act Review Report</x:v>
      </x:c>
      <x:c r="C26" s="82" t="str">
        <x:v>Finance and Treasury Board</x:v>
      </x:c>
      <x:c r="D26" s="99" t="n">
        <x:v>46191.5</x:v>
      </x:c>
      <x:c r="E26" s="82" t="str">
        <x:v>A</x:v>
      </x:c>
      <x:c r="F26" s="82" t="str">
        <x:v>https://www.gnb.ca/content/dam/GNB3/gov/rtippa-ldipvp/docs/rtippa-review-report.pdf</x:v>
      </x:c>
      <x:c r="G26" s="82" t="str">
        <x:v>RTIPPA timeliness, resourcing and culture</x:v>
      </x:c>
    </x:row>
    <x:row r="27">
      <x:c r="A27" s="82" t="str">
        <x:v>S27</x:v>
      </x:c>
      <x:c r="B27" s="82" t="str">
        <x:v>Grant Processes and Outcomes: Tourism, Heritage and Culture</x:v>
      </x:c>
      <x:c r="C27" s="82" t="str">
        <x:v>Auditor General of New Brunswick</x:v>
      </x:c>
      <x:c r="D27" s="99" t="n">
        <x:v>46175.5</x:v>
      </x:c>
      <x:c r="E27" s="82" t="str">
        <x:v>A</x:v>
      </x:c>
      <x:c r="F27" s="82" t="str">
        <x:v>https://www.agnb-vgnb.ca/uploads/volume_section_translations/697/file/agnb-VI-C4-2026-En.pdf</x:v>
      </x:c>
      <x:c r="G27" s="82" t="str">
        <x:v>Controls and staffing-related reporting gap</x:v>
      </x:c>
    </x:row>
    <x:row r="28">
      <x:c r="A28" s="82" t="str">
        <x:v>S28</x:v>
      </x:c>
      <x:c r="B28" s="82" t="str">
        <x:v>Our Action Plan to be Self-Sufficient</x:v>
      </x:c>
      <x:c r="C28" s="82" t="str">
        <x:v>Government of New Brunswick</x:v>
      </x:c>
      <x:c r="D28" s="99" t="n">
        <x:v>39409.5</x:v>
      </x:c>
      <x:c r="E28" s="82" t="str">
        <x:v>A</x:v>
      </x:c>
      <x:c r="F28" s="82" t="str">
        <x:v>https://www1.gnb.ca/cnb/multimedia/display-e.asp?id=1277&amp;num=1</x:v>
      </x:c>
      <x:c r="G28" s="82" t="str">
        <x:v>Graham formal governing frame</x:v>
      </x:c>
    </x:row>
    <x:row r="29">
      <x:c r="A29" s="82" t="str">
        <x:v>S29</x:v>
      </x:c>
      <x:c r="B29" s="82" t="str">
        <x:v>2025 Throne Speech release</x:v>
      </x:c>
      <x:c r="C29" s="82" t="str">
        <x:v>Government of New Brunswick</x:v>
      </x:c>
      <x:c r="D29" s="99" t="n">
        <x:v>45951.5</x:v>
      </x:c>
      <x:c r="E29" s="82" t="str">
        <x:v>A</x:v>
      </x:c>
      <x:c r="F29" s="82" t="str">
        <x:v>https://www.gnb.ca/en/news/n-b.2025.10.throne-speech-outlines-change-in-motion-on-health-care-affordability-and-housing.html</x:v>
      </x:c>
      <x:c r="G29" s="82" t="str">
        <x:v>Priority and slogan architecture</x:v>
      </x:c>
    </x:row>
    <x:row r="30">
      <x:c r="A30" s="82" t="str">
        <x:v>S30</x:v>
      </x:c>
      <x:c r="B30" s="82" t="str">
        <x:v>2026 State of the Province address</x:v>
      </x:c>
      <x:c r="C30" s="82" t="str">
        <x:v>Government of New Brunswick</x:v>
      </x:c>
      <x:c r="D30" s="99" t="n">
        <x:v>46051.5</x:v>
      </x:c>
      <x:c r="E30" s="82" t="str">
        <x:v>A</x:v>
      </x:c>
      <x:c r="F30" s="82" t="str">
        <x:v>https://www.gnb.ca/en/news/n-b.2026.01.state-of-the-province-address-focuses-on-health-care-and-economy-highlights-opportunities-for-growth.html</x:v>
      </x:c>
      <x:c r="G30" s="82" t="str">
        <x:v>Mandate framing</x:v>
      </x:c>
    </x:row>
    <x:row r="31">
      <x:c r="A31" s="82" t="str">
        <x:v>S31</x:v>
      </x:c>
      <x:c r="B31" s="82" t="str">
        <x:v>Trusted leadership priority tracker</x:v>
      </x:c>
      <x:c r="C31" s="82" t="str">
        <x:v>Government of New Brunswick</x:v>
      </x:c>
      <x:c r="D31" s="99" t="n">
        <x:v>46185.5</x:v>
      </x:c>
      <x:c r="E31" s="82" t="str">
        <x:v>A</x:v>
      </x:c>
      <x:c r="F31" s="82" t="str">
        <x:v>https://www2.gnb.ca/content/gnb/en/corporate/promo/government-priorities/leadership.html</x:v>
      </x:c>
      <x:c r="G31" s="82" t="str">
        <x:v>Leadership commitments</x:v>
      </x:c>
    </x:row>
    <x:row r="32">
      <x:c r="A32" s="82" t="str">
        <x:v>S32</x:v>
      </x:c>
      <x:c r="B32" s="82" t="str">
        <x:v>Electricity rebate</x:v>
      </x:c>
      <x:c r="C32" s="82" t="str">
        <x:v>Government of New Brunswick</x:v>
      </x:c>
      <x:c r="D32" s="99" t="n">
        <x:v>2025</x:v>
      </x:c>
      <x:c r="E32" s="82" t="str">
        <x:v>A</x:v>
      </x:c>
      <x:c r="F32" s="82" t="str">
        <x:v>https://www2.gnb.ca/content/gnb/en/corporate/promo/electricity-rebate.html</x:v>
      </x:c>
      <x:c r="G32" s="82" t="str">
        <x:v>Eligibility and rebate mechanics</x:v>
      </x:c>
    </x:row>
    <x:row r="33">
      <x:c r="A33" s="82" t="str">
        <x:v>S33</x:v>
      </x:c>
      <x:c r="B33" s="82" t="str">
        <x:v>Rate decision</x:v>
      </x:c>
      <x:c r="C33" s="82" t="str">
        <x:v>NB Power</x:v>
      </x:c>
      <x:c r="D33" s="99" t="n">
        <x:v>2026</x:v>
      </x:c>
      <x:c r="E33" s="82" t="str">
        <x:v>A</x:v>
      </x:c>
      <x:c r="F33" s="82" t="str">
        <x:v>https://www.nbpower.com/en/about-us/regulatory/rate-application/rate-decision/</x:v>
      </x:c>
      <x:c r="G33" s="82" t="str">
        <x:v>Electricity-rate context</x:v>
      </x:c>
    </x:row>
    <x:row r="34">
      <x:c r="A34" s="82" t="str">
        <x:v>S34</x:v>
      </x:c>
      <x:c r="B34" s="82" t="str">
        <x:v>Universal breakfast announcement</x:v>
      </x:c>
      <x:c r="C34" s="82" t="str">
        <x:v>Government of New Brunswick</x:v>
      </x:c>
      <x:c r="D34" s="99" t="n">
        <x:v>45903.5</x:v>
      </x:c>
      <x:c r="E34" s="82" t="str">
        <x:v>A</x:v>
      </x:c>
      <x:c r="F34" s="82" t="str">
        <x:v>https://www.gnb.ca/en/news/n-b.2025.09.government-to-provide-free-nutritious-breakfast-to-all-new-brunswick-students.html</x:v>
      </x:c>
      <x:c r="G34" s="82" t="str">
        <x:v>Breakfast availability</x:v>
      </x:c>
    </x:row>
    <x:row r="35">
      <x:c r="A35" s="82" t="str">
        <x:v>S35</x:v>
      </x:c>
      <x:c r="B35" s="82" t="str">
        <x:v>Pay-what-you-can lunch launch</x:v>
      </x:c>
      <x:c r="C35" s="82" t="str">
        <x:v>Government of New Brunswick</x:v>
      </x:c>
      <x:c r="D35" s="99" t="str">
        <x:v>2026-06</x:v>
      </x:c>
      <x:c r="E35" s="82" t="str">
        <x:v>A</x:v>
      </x:c>
      <x:c r="F35" s="82" t="str">
        <x:v>https://www.gnb.ca/en/news/n-b.2026.06.pay-what-you-can-school-lunch-program-tobegin-inseptember.html</x:v>
      </x:c>
      <x:c r="G35" s="82" t="str">
        <x:v>Lunch timing and budget</x:v>
      </x:c>
    </x:row>
    <x:row r="36">
      <x:c r="A36" s="82" t="str">
        <x:v>S36</x:v>
      </x:c>
      <x:c r="B36" s="82" t="str">
        <x:v>One year in, Holt Liberals strengthen their lead</x:v>
      </x:c>
      <x:c r="C36" s="82" t="str">
        <x:v>Abacus Data</x:v>
      </x:c>
      <x:c r="D36" s="99" t="n">
        <x:v>45973.5</x:v>
      </x:c>
      <x:c r="E36" s="82" t="str">
        <x:v>A-</x:v>
      </x:c>
      <x:c r="F36" s="82" t="str">
        <x:v>https://abacusdata.ca/abacus-data-new-brunswick-poll-one-year-in-susan-holts-liberals-strengthen-their-lead/</x:v>
      </x:c>
      <x:c r="G36" s="82" t="str">
        <x:v>Same-pollster directional comparison</x:v>
      </x:c>
    </x:row>
    <x:row r="37">
      <x:c r="A37" s="82" t="str">
        <x:v>S37</x:v>
      </x:c>
      <x:c r="B37" s="82" t="str">
        <x:v>Profs decry catastrophic cuts proposed by N.B. government</x:v>
      </x:c>
      <x:c r="C37" s="82" t="str">
        <x:v>University Affairs</x:v>
      </x:c>
      <x:c r="D37" s="99" t="n">
        <x:v>46084.5</x:v>
      </x:c>
      <x:c r="E37" s="82" t="str">
        <x:v>B</x:v>
      </x:c>
      <x:c r="F37" s="82" t="str">
        <x:v>https://universityaffairs.ca/news/profs-decry-catastrophic-cuts-proposed-by-nb-government/</x:v>
      </x:c>
      <x:c r="G37" s="82" t="str">
        <x:v>Post-secondary option-paper event</x:v>
      </x:c>
    </x:row>
    <x:row r="38">
      <x:c r="A38" s="82" t="str">
        <x:v>S38</x:v>
      </x:c>
      <x:c r="B38" s="82" t="str">
        <x:v>New Brunswick effectively freezes post-secondary funding</x:v>
      </x:c>
      <x:c r="C38" s="82" t="str">
        <x:v>University Affairs</x:v>
      </x:c>
      <x:c r="D38" s="99" t="n">
        <x:v>46099.5</x:v>
      </x:c>
      <x:c r="E38" s="82" t="str">
        <x:v>B</x:v>
      </x:c>
      <x:c r="F38" s="82" t="str">
        <x:v>https://universityaffairs.ca/news/new-brunswick-effectively-freezes-post-secondary-funding-in-2026-budget/</x:v>
      </x:c>
      <x:c r="G38" s="82" t="str">
        <x:v>Final budget outcome after options controversy</x:v>
      </x:c>
    </x:row>
    <x:row r="39">
      <x:c r="A39" s="82" t="str">
        <x:v>S39</x:v>
      </x:c>
      <x:c r="B39" s="82" t="str">
        <x:v>High wildfire hazard leads to Crown land closures</x:v>
      </x:c>
      <x:c r="C39" s="82" t="str">
        <x:v>Government of New Brunswick</x:v>
      </x:c>
      <x:c r="D39" s="99" t="n">
        <x:v>45878.5</x:v>
      </x:c>
      <x:c r="E39" s="82" t="str">
        <x:v>A</x:v>
      </x:c>
      <x:c r="F39" s="82" t="str">
        <x:v>https://www.gnb.ca/en/news/n-b.2025.08.high-wildfire-hazard-leads-to-crown-land-closures-public-urged-to-be-extremely-cautious.html</x:v>
      </x:c>
      <x:c r="G39" s="82" t="str">
        <x:v>Negative control for messenger failure</x:v>
      </x:c>
    </x:row>
    <x:row r="40">
      <x:c r="A40" s="82" t="str">
        <x:v>S40</x:v>
      </x:c>
      <x:c r="B40" s="82" t="str">
        <x:v>New collective agreement signed with CUPE 1190</x:v>
      </x:c>
      <x:c r="C40" s="82" t="str">
        <x:v>Government of New Brunswick</x:v>
      </x:c>
      <x:c r="D40" s="99" t="n">
        <x:v>45721.5</x:v>
      </x:c>
      <x:c r="E40" s="82" t="str">
        <x:v>A</x:v>
      </x:c>
      <x:c r="F40" s="82" t="str">
        <x:v>https://www.gnb.ca/en/news/n-b.2025.03.new-collective-agreement-signed-with-cupe-1190.html</x:v>
      </x:c>
      <x:c r="G40" s="82" t="str">
        <x:v>Labour-relations counter-signal</x:v>
      </x:c>
    </x:row>
    <x:row r="41">
      <x:c r="A41" s="82" t="str">
        <x:v>S41</x:v>
      </x:c>
      <x:c r="B41" s="82" t="str">
        <x:v>New Brunswick Federation of Labour budget response</x:v>
      </x:c>
      <x:c r="C41" s="82" t="str">
        <x:v>New Brunswick Federation of Labour</x:v>
      </x:c>
      <x:c r="D41" s="99" t="n">
        <x:v>46100.5</x:v>
      </x:c>
      <x:c r="E41" s="82" t="str">
        <x:v>B</x:v>
      </x:c>
      <x:c r="F41" s="82" t="str">
        <x:v>https://fednb.ca/budget-response-pleased-with-increased-public-investments-remainsvigilant-to-prevent-cuts-to-essential-public-services/</x:v>
      </x:c>
      <x:c r="G41" s="82" t="str">
        <x:v>Stakeholder concern about reductions</x:v>
      </x:c>
    </x:row>
    <x:row r="42">
      <x:c r="A42" s="82" t="str">
        <x:v>S42</x:v>
      </x:c>
      <x:c r="B42" s="82" t="str">
        <x:v>Prior mandate-day-674 data model</x:v>
      </x:c>
      <x:c r="C42" s="82" t="str">
        <x:v>OpenAI Deep Research working file</x:v>
      </x:c>
      <x:c r="D42" s="99" t="n">
        <x:v>46260.5</x:v>
      </x:c>
      <x:c r="E42" s="82" t="str">
        <x:v>Reproducible derived</x:v>
      </x:c>
      <x:c r="F42" s="82" t="str">
        <x:v>Local companion workbook and CSV files</x:v>
      </x:c>
      <x:c r="G42" s="82" t="str">
        <x:v>Ensemble, day-674 and seat calculations</x:v>
      </x:c>
    </x:row>
    <x:row r="43">
      <x:c r="A43" s="82" t="str">
        <x:v>S43</x:v>
      </x:c>
      <x:c r="B43" s="82" t="str">
        <x:v>Legislative report: first Alward Throne Speech</x:v>
      </x:c>
      <x:c r="C43" s="82" t="str">
        <x:v>Canadian Parliamentary Review</x:v>
      </x:c>
      <x:c r="D43" s="99" t="n">
        <x:v>2011</x:v>
      </x:c>
      <x:c r="E43" s="82" t="str">
        <x:v>B</x:v>
      </x:c>
      <x:c r="F43" s="82" t="str">
        <x:v>https://www.revparlcan.ca/en/vol34-no1-legislative-reports-21/</x:v>
      </x:c>
      <x:c r="G43" s="82" t="str">
        <x:v>Alward formal governing frame</x:v>
      </x:c>
    </x:row>
    <x:row r="44">
      <x:c r="A44" s="82" t="str">
        <x:v>S44</x:v>
      </x:c>
      <x:c r="B44" s="82" t="str">
        <x:v>First Gallant Throne Speech</x:v>
      </x:c>
      <x:c r="C44" s="82" t="str">
        <x:v>Legislative Assembly of New Brunswick</x:v>
      </x:c>
      <x:c r="D44" s="99" t="n">
        <x:v>41976.5</x:v>
      </x:c>
      <x:c r="E44" s="82" t="str">
        <x:v>A</x:v>
      </x:c>
      <x:c r="F44" s="82" t="str">
        <x:v>https://www.legnb.ca/content/house_business/58/1/throne_speech/ThroneSpeech2014-e.pdf</x:v>
      </x:c>
      <x:c r="G44" s="82" t="str">
        <x:v>Gallant jobs-first frame</x:v>
      </x:c>
    </x:row>
    <x:row r="45">
      <x:c r="A45" s="83" t="str">
        <x:v>S45</x:v>
      </x:c>
      <x:c r="B45" s="83" t="str">
        <x:v>First Higgs Throne Speech</x:v>
      </x:c>
      <x:c r="C45" s="83" t="str">
        <x:v>Legislative Assembly of New Brunswick</x:v>
      </x:c>
      <x:c r="D45" s="100" t="n">
        <x:v>43424.5</x:v>
      </x:c>
      <x:c r="E45" s="83" t="str">
        <x:v>A</x:v>
      </x:c>
      <x:c r="F45" s="83" t="str">
        <x:v>https://www.legnb.ca/content/house_business/59/2/journals/01181120e.pdf</x:v>
      </x:c>
      <x:c r="G45" s="83" t="str">
        <x:v>Higgs five-challenges/results frame</x:v>
      </x:c>
    </x:row>
  </x:sheetData>
  <x:mergeCells>
    <x:mergeCell ref="A1:G1"/>
    <x:mergeCell ref="A2:G2"/>
  </x:mergeCells>
  <x:pageMargins left="0.7" right="0.7" top="0.75" bottom="0.75" header="0.3" footer="0.3"/>
</x:worksheet>
</file>