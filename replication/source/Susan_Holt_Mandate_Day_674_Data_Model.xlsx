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e025fe5ee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476037e674524fa3"/>
    <x:sheet xmlns:r="http://schemas.openxmlformats.org/officeDocument/2006/relationships" name="Read Me" sheetId="2" r:id="R16d06d844de44ace"/>
    <x:sheet xmlns:r="http://schemas.openxmlformats.org/officeDocument/2006/relationships" name="Current Polls" sheetId="3" r:id="R1d16ca3fa3fb4f6a"/>
    <x:sheet xmlns:r="http://schemas.openxmlformats.org/officeDocument/2006/relationships" name="Current Indicators" sheetId="4" r:id="Rd420f500152c4fd5"/>
    <x:sheet xmlns:r="http://schemas.openxmlformats.org/officeDocument/2006/relationships" name="Day 674" sheetId="5" r:id="R9252b147545d4a14"/>
    <x:sheet xmlns:r="http://schemas.openxmlformats.org/officeDocument/2006/relationships" name="Historical Polls" sheetId="6" r:id="R0d7a476f91424a40"/>
    <x:sheet xmlns:r="http://schemas.openxmlformats.org/officeDocument/2006/relationships" name="Coverage" sheetId="7" r:id="R423e8ca1e5f14f53"/>
    <x:sheet xmlns:r="http://schemas.openxmlformats.org/officeDocument/2006/relationships" name="Elections" sheetId="8" r:id="R52a95504af1e4efd"/>
    <x:sheet xmlns:r="http://schemas.openxmlformats.org/officeDocument/2006/relationships" name="Nowcast Scenarios" sheetId="9" r:id="Rb946941fb7bd4391"/>
    <x:sheet xmlns:r="http://schemas.openxmlformats.org/officeDocument/2006/relationships" name="Riding Model" sheetId="10" r:id="Re6637434bc934c04"/>
    <x:sheet xmlns:r="http://schemas.openxmlformats.org/officeDocument/2006/relationships" name="Model Audit" sheetId="11" r:id="R2f228c8eee3b4041"/>
    <x:sheet xmlns:r="http://schemas.openxmlformats.org/officeDocument/2006/relationships" name="Sources" sheetId="12" r:id="R36d1f3a0972e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0.0"/>
    <x:numFmt numFmtId="202" formatCode="0.0%"/>
    <x:numFmt numFmtId="203" formatCode="#,##0"/>
    <x:numFmt numFmtId="204" formatCode="0.00&quot;%&quot;"/>
    <x:numFmt numFmtId="205" formatCode="0.00%"/>
    <x:numFmt numFmtId="206" formatCode="0"/>
    <x:numFmt numFmtId="207" formatCode="0.0&quot; pts&quot;"/>
    <x:numFmt numFmtId="208" formatCode="0.0&quot;%&quot;"/>
    <x:numFmt numFmtId="209" formatCode="0&quot; L seats&quot;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sz val="9"/>
      <x:color rgb="FF1F2933"/>
      <x:name val="Carlito"/>
    </x:font>
    <x:font>
      <x:b/>
      <x:sz val="9"/>
      <x:color rgb="FF17365D"/>
      <x:name val="Carlito"/>
    </x:font>
    <x:font>
      <x:b/>
      <x:sz val="10"/>
      <x:color rgb="FFFFFFFF"/>
      <x:name val="Carlito"/>
    </x:font>
    <x:font>
      <x:i/>
      <x:sz val="9"/>
      <x:color rgb="FF5B6573"/>
      <x:name val="Carlito"/>
    </x:font>
    <x:font>
      <x:i/>
      <x:sz val="9"/>
      <x:color rgb="FF7F6000"/>
      <x:name val="Carlito"/>
    </x:font>
    <x:font>
      <x:b/>
      <x:sz val="9"/>
      <x:color rgb="FF7F6000"/>
      <x:name val="Carlito"/>
    </x:font>
    <x:font>
      <x:b/>
      <x:sz val="18"/>
      <x:color rgb="FF17365D"/>
      <x:name val="Carlito"/>
    </x:font>
    <x:font>
      <x:b/>
      <x:sz val="11"/>
      <x:color rgb="FF37562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4F7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16">
    <x:border/>
    <x:border>
      <x:left style="thin">
        <x:color rgb="FFD5DAE2"/>
      </x:left>
      <x:right style="thin">
        <x:color rgb="FFD5DAE2"/>
      </x:right>
      <x:top style="thin">
        <x:color rgb="FFD5DAE2"/>
      </x:top>
    </x:border>
    <x:border>
      <x:left style="thin">
        <x:color rgb="FFD5DAE2"/>
      </x:left>
      <x:right style="thin">
        <x:color rgb="FFD5DAE2"/>
      </x:right>
    </x:border>
    <x:border>
      <x:left style="thin">
        <x:color rgb="FFD5DAE2"/>
      </x:left>
      <x:right style="thin">
        <x:color rgb="FFD5DAE2"/>
      </x:right>
      <x:bottom style="thin">
        <x:color rgb="FFD5DAE2"/>
      </x:bottom>
    </x:border>
    <x:border>
      <x:bottom style="thin">
        <x:color rgb="FFD5DAE2"/>
      </x:bottom>
    </x:border>
    <x:border>
      <x:top style="thin">
        <x:color rgb="FFD5DAE2"/>
      </x:top>
      <x:bottom style="thin">
        <x:color rgb="FFD5DAE2"/>
      </x:bottom>
    </x:border>
    <x:border>
      <x:top style="thin">
        <x:color rgb="FFD5DAE2"/>
      </x:top>
    </x:border>
    <x:border>
      <x:left style="thin">
        <x:color rgb="FFD5DAE2"/>
      </x:left>
      <x:top style="thin">
        <x:color rgb="FFD5DAE2"/>
      </x:top>
      <x:bottom style="thin">
        <x:color rgb="FFD5DAE2"/>
      </x:bottom>
    </x:border>
    <x:border>
      <x:right style="thin">
        <x:color rgb="FFD5DAE2"/>
      </x:right>
      <x:top style="thin">
        <x:color rgb="FFD5DAE2"/>
      </x:top>
      <x:bottom style="thin">
        <x:color rgb="FFD5DAE2"/>
      </x:bottom>
    </x:border>
    <x:border>
      <x:left style="thin">
        <x:color rgb="FFD5DAE2"/>
      </x:left>
      <x:top style="thin">
        <x:color rgb="FFD5DAE2"/>
      </x:top>
    </x:border>
    <x:border>
      <x:right style="thin">
        <x:color rgb="FFD5DAE2"/>
      </x:right>
      <x:top style="thin">
        <x:color rgb="FFD5DAE2"/>
      </x:top>
    </x:border>
    <x:border>
      <x:left style="thin">
        <x:color rgb="FFD5DAE2"/>
      </x:left>
    </x:border>
    <x:border>
      <x:right style="thin">
        <x:color rgb="FFD5DAE2"/>
      </x:right>
    </x:border>
    <x:border>
      <x:left style="thin">
        <x:color rgb="FFD5DAE2"/>
      </x:left>
      <x:bottom style="thin">
        <x:color rgb="FFD5DAE2"/>
      </x:bottom>
    </x:border>
    <x:border>
      <x:right style="thin">
        <x:color rgb="FFD5DAE2"/>
      </x:right>
      <x:bottom style="thin">
        <x:color rgb="FFD5DAE2"/>
      </x:bottom>
    </x:border>
    <x:border>
      <x:left style="thin">
        <x:color rgb="FFD5DAE2"/>
      </x:left>
      <x:right style="thin">
        <x:color rgb="FFD5DAE2"/>
      </x:right>
      <x:top style="thin">
        <x:color rgb="FFD5DAE2"/>
      </x:top>
      <x:bottom style="thin">
        <x:color rgb="FFD5DAE2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5" xfId="0" applyNumberFormat="1" applyFont="1" applyFill="1" applyBorder="1"/>
    <x:xf numFmtId="0" fontId="3" fillId="4" borderId="8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/>
    <x:xf numFmtId="0" fontId="6" fillId="5" borderId="8" xfId="0" applyNumberFormat="1" applyFont="1" applyFill="1" applyBorder="1"/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9" xfId="0" applyNumberFormat="1" applyFont="1" applyFill="1" applyBorder="1"/>
    <x:xf numFmtId="0" fontId="7" fillId="3" borderId="6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4" xfId="0" applyNumberFormat="1" applyFont="1" applyFill="1" applyBorder="1"/>
    <x:xf numFmtId="0" fontId="7" fillId="3" borderId="14" xfId="0" applyNumberFormat="1" applyFont="1" applyFill="1" applyBorder="1"/>
    <x:xf numFmtId="0" fontId="7" fillId="3" borderId="9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12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/>
    <x:xf numFmtId="0" fontId="6" fillId="5" borderId="15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/>
    </x:xf>
    <x:xf numFmtId="200" fontId="4" fillId="6" borderId="6" xfId="0" applyNumberFormat="1" applyFont="1" applyFill="1" applyBorder="1" applyAlignment="1">
      <x:alignment vertical="center"/>
    </x:xf>
    <x:xf numFmtId="201" fontId="4" fillId="6" borderId="6" xfId="0" applyNumberFormat="1" applyFont="1" applyFill="1" applyBorder="1" applyAlignment="1">
      <x:alignment vertical="center"/>
    </x:xf>
    <x:xf numFmtId="202" fontId="4" fillId="6" borderId="6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200" fontId="5" fillId="6" borderId="6" xfId="0" applyNumberFormat="1" applyFont="1" applyFill="1" applyBorder="1" applyAlignment="1">
      <x:alignment vertical="center"/>
    </x:xf>
    <x:xf numFmtId="201" fontId="5" fillId="6" borderId="6" xfId="0" applyNumberFormat="1" applyFont="1" applyFill="1" applyBorder="1" applyAlignment="1">
      <x:alignment vertical="center"/>
    </x:xf>
    <x:xf numFmtId="202" fontId="5" fillId="6" borderId="6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9" xfId="0" applyNumberFormat="1" applyFont="1" applyFill="1" applyBorder="1"/>
    <x:xf numFmtId="0" fontId="8" fillId="7" borderId="6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4" xfId="0" applyNumberFormat="1" applyFont="1" applyFill="1" applyBorder="1"/>
    <x:xf numFmtId="0" fontId="8" fillId="7" borderId="14" xfId="0" applyNumberFormat="1" applyFont="1" applyFill="1" applyBorder="1"/>
    <x:xf numFmtId="0" fontId="8" fillId="7" borderId="9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6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0" fontId="4" fillId="7" borderId="5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0" fontId="9" fillId="7" borderId="5" xfId="0" applyNumberFormat="1" applyFont="1" applyFill="1" applyBorder="1" applyAlignment="1">
      <x:alignment vertical="center"/>
    </x:xf>
    <x:xf numFmtId="0" fontId="9" fillId="7" borderId="6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9" xfId="0" applyNumberFormat="1" applyFont="1" applyFill="1" applyBorder="1"/>
    <x:xf numFmtId="0" fontId="10" fillId="8" borderId="6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12" xfId="0" applyNumberFormat="1" applyFont="1" applyFill="1" applyBorder="1"/>
    <x:xf numFmtId="0" fontId="10" fillId="8" borderId="13" xfId="0" applyNumberFormat="1" applyFont="1" applyFill="1" applyBorder="1"/>
    <x:xf numFmtId="0" fontId="10" fillId="8" borderId="4" xfId="0" applyNumberFormat="1" applyFont="1" applyFill="1" applyBorder="1"/>
    <x:xf numFmtId="0" fontId="10" fillId="8" borderId="14" xfId="0" applyNumberFormat="1" applyFont="1" applyFill="1" applyBorder="1"/>
    <x:xf numFmtId="0" fontId="10" fillId="8" borderId="9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10" xfId="0" applyNumberFormat="1" applyFont="1" applyFill="1" applyBorder="1" applyAlignment="1">
      <x:alignment horizontal="center"/>
    </x:xf>
    <x:xf numFmtId="0" fontId="10" fillId="8" borderId="11" xfId="0" applyNumberFormat="1" applyFont="1" applyFill="1" applyBorder="1" applyAlignment="1">
      <x:alignment horizontal="center"/>
    </x:xf>
    <x:xf numFmtId="0" fontId="10" fillId="8" borderId="0" xfId="0" applyNumberFormat="1" applyFont="1" applyFill="1" applyBorder="1" applyAlignment="1">
      <x:alignment horizontal="center"/>
    </x:xf>
    <x:xf numFmtId="0" fontId="10" fillId="8" borderId="12" xfId="0" applyNumberFormat="1" applyFont="1" applyFill="1" applyBorder="1" applyAlignment="1">
      <x:alignment horizontal="center"/>
    </x:xf>
    <x:xf numFmtId="0" fontId="10" fillId="8" borderId="13" xfId="0" applyNumberFormat="1" applyFont="1" applyFill="1" applyBorder="1" applyAlignment="1">
      <x:alignment horizontal="center"/>
    </x:xf>
    <x:xf numFmtId="0" fontId="10" fillId="8" borderId="4" xfId="0" applyNumberFormat="1" applyFont="1" applyFill="1" applyBorder="1" applyAlignment="1">
      <x:alignment horizontal="center"/>
    </x:xf>
    <x:xf numFmtId="0" fontId="10" fillId="8" borderId="14" xfId="0" applyNumberFormat="1" applyFont="1" applyFill="1" applyBorder="1" applyAlignment="1">
      <x:alignment horizontal="center"/>
    </x:xf>
    <x:xf numFmtId="0" fontId="10" fillId="8" borderId="9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10" xfId="0" applyNumberFormat="1" applyFont="1" applyFill="1" applyBorder="1" applyAlignment="1">
      <x:alignment horizontal="center" vertical="center"/>
    </x:xf>
    <x:xf numFmtId="0" fontId="10" fillId="8" borderId="11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/>
    </x:xf>
    <x:xf numFmtId="0" fontId="10" fillId="8" borderId="14" xfId="0" applyNumberFormat="1" applyFont="1" applyFill="1" applyBorder="1" applyAlignment="1">
      <x:alignment horizontal="center" vertical="center"/>
    </x:xf>
    <x:xf numFmtId="207" fontId="10" fillId="8" borderId="9" xfId="0" applyNumberFormat="1" applyFont="1" applyFill="1" applyBorder="1" applyAlignment="1">
      <x:alignment horizontal="center" vertical="center"/>
    </x:xf>
    <x:xf numFmtId="208" fontId="10" fillId="8" borderId="9" xfId="0" applyNumberFormat="1" applyFont="1" applyFill="1" applyBorder="1" applyAlignment="1">
      <x:alignment horizontal="center" vertical="center"/>
    </x:xf>
    <x:xf numFmtId="209" fontId="10" fillId="8" borderId="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7" xfId="0" applyNumberFormat="1" applyFont="1" applyFill="1" applyBorder="1"/>
    <x:xf numFmtId="0" fontId="11" fillId="9" borderId="5" xfId="0" applyNumberFormat="1" applyFont="1" applyFill="1" applyBorder="1"/>
    <x:xf numFmtId="0" fontId="11" fillId="9" borderId="8" xfId="0" applyNumberFormat="1" applyFont="1" applyFill="1" applyBorder="1"/>
    <x:xf numFmtId="0" fontId="11" fillId="9" borderId="7" xfId="0" applyNumberFormat="1" applyFont="1" applyFill="1" applyBorder="1" applyAlignment="1">
      <x:alignment wrapText="1"/>
    </x:xf>
    <x:xf numFmtId="0" fontId="11" fillId="9" borderId="5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11" fillId="9" borderId="7" xfId="0" applyNumberFormat="1" applyFont="1" applyFill="1" applyBorder="1" applyAlignment="1">
      <x:alignment vertical="center" wrapText="1"/>
    </x:xf>
    <x:xf numFmtId="0" fontId="11" fillId="9" borderId="5" xfId="0" applyNumberFormat="1" applyFont="1" applyFill="1" applyBorder="1" applyAlignment="1">
      <x:alignment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8" fillId="7" borderId="14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7" fillId="3" borderId="9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3" borderId="1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2" xfId="0" applyNumberFormat="1" applyFont="1" applyFill="1" applyBorder="1" applyAlignment="1">
      <x:alignment vertical="center" wrapText="1"/>
    </x:xf>
    <x:xf numFmtId="0" fontId="7" fillId="3" borderId="13" xfId="0" applyNumberFormat="1" applyFont="1" applyFill="1" applyBorder="1" applyAlignment="1">
      <x:alignment vertical="center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14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268f5b00f4f44" /><Relationship Type="http://schemas.openxmlformats.org/officeDocument/2006/relationships/theme" Target="/xl/theme/theme1.xml" Id="Re0757fb14e314de1" /><Relationship Type="http://schemas.microsoft.com/office/2022/11/relationships/FeaturePropertyBag" Target="/xl/featurePropertyBag/featurePropertyBag.xml" Id="R75d3d2ff530443c1" /><Relationship Type="http://schemas.openxmlformats.org/officeDocument/2006/relationships/sharedStrings" Target="/xl/sharedStrings.xml" Id="Re5abf1d9ed0c4775" /><Relationship Type="http://schemas.openxmlformats.org/officeDocument/2006/relationships/worksheet" Target="/xl/worksheets/sheet1.xml" Id="R476037e674524fa3" /><Relationship Type="http://schemas.openxmlformats.org/officeDocument/2006/relationships/worksheet" Target="/xl/worksheets/sheet2.xml" Id="R16d06d844de44ace" /><Relationship Type="http://schemas.openxmlformats.org/officeDocument/2006/relationships/worksheet" Target="/xl/worksheets/sheet3.xml" Id="R1d16ca3fa3fb4f6a" /><Relationship Type="http://schemas.openxmlformats.org/officeDocument/2006/relationships/worksheet" Target="/xl/worksheets/sheet4.xml" Id="Rd420f500152c4fd5" /><Relationship Type="http://schemas.openxmlformats.org/officeDocument/2006/relationships/worksheet" Target="/xl/worksheets/sheet5.xml" Id="R9252b147545d4a14" /><Relationship Type="http://schemas.openxmlformats.org/officeDocument/2006/relationships/worksheet" Target="/xl/worksheets/sheet6.xml" Id="R0d7a476f91424a40" /><Relationship Type="http://schemas.openxmlformats.org/officeDocument/2006/relationships/worksheet" Target="/xl/worksheets/sheet7.xml" Id="R423e8ca1e5f14f53" /><Relationship Type="http://schemas.openxmlformats.org/officeDocument/2006/relationships/worksheet" Target="/xl/worksheets/sheet8.xml" Id="R52a95504af1e4efd" /><Relationship Type="http://schemas.openxmlformats.org/officeDocument/2006/relationships/worksheet" Target="/xl/worksheets/sheet9.xml" Id="Rb946941fb7bd4391" /><Relationship Type="http://schemas.openxmlformats.org/officeDocument/2006/relationships/worksheet" Target="/xl/worksheets/sheet10.xml" Id="Re6637434bc934c04" /><Relationship Type="http://schemas.openxmlformats.org/officeDocument/2006/relationships/worksheet" Target="/xl/worksheets/sheet11.xml" Id="R2f228c8eee3b4041" /><Relationship Type="http://schemas.openxmlformats.org/officeDocument/2006/relationships/worksheet" Target="/xl/worksheets/sheet12.xml" Id="R36d1f3a0972e49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818241d8374d54" /><Relationship Type="http://schemas.openxmlformats.org/officeDocument/2006/relationships/chart" Target="/xl/drawings/charts/chart2.xml" Id="R7a3d4c5fee324d0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c56edb9765d459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836ffff2e5f424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7c2b8a6843d4089" /><Relationship Type="http://schemas.openxmlformats.org/officeDocument/2006/relationships/chart" Target="/xl/drawings/charts/chart6.xml" Id="Rb79f5fa3719a45f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fa566c5a1b8445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Government lead at day 674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Lead</c:v>
          </c:tx>
          <c:spPr>
            <a:solidFill xmlns:a="http://schemas.openxmlformats.org/drawingml/2006/main">
              <a:srgbClr val="2E74B5"/>
            </a:solidFill>
          </c:spPr>
          <c:cat>
            <c:strRef>
              <c:f>'Day 674'!$A$5:$A$9</c:f>
              <c:strCache>
                <c:ptCount val="0"/>
              </c:strCache>
            </c:strRef>
          </c:cat>
          <c:val>
            <c:numRef>
              <c:f>'Day 674'!$M$5:$M$9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poll scenarios: seats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Liberal</c:v>
          </c:tx>
          <c:spPr>
            <a:solidFill xmlns:a="http://schemas.openxmlformats.org/drawingml/2006/main">
              <a:srgbClr val="9C0006"/>
            </a:solidFill>
          </c:spPr>
          <c:cat>
            <c:strRef>
              <c:f>'Nowcast Scenarios'!$A$5:$A$8</c:f>
              <c:strCache>
                <c:ptCount val="0"/>
              </c:strCache>
            </c:strRef>
          </c:cat>
          <c:val>
            <c:numRef>
              <c:f>'Nowcast Scenarios'!$G$5:$G$8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PC</c:v>
          </c:tx>
          <c:spPr>
            <a:solidFill xmlns:a="http://schemas.openxmlformats.org/drawingml/2006/main">
              <a:srgbClr val="2E74B5"/>
            </a:solidFill>
          </c:spPr>
          <c:cat>
            <c:strRef>
              <c:f>'Nowcast Scenarios'!$A$5:$A$8</c:f>
              <c:strCache>
                <c:ptCount val="0"/>
              </c:strCache>
            </c:strRef>
          </c:cat>
          <c:val>
            <c:numRef>
              <c:f>'Nowcast Scenarios'!$H$5:$H$8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Green</c:v>
          </c:tx>
          <c:spPr>
            <a:solidFill xmlns:a="http://schemas.openxmlformats.org/drawingml/2006/main">
              <a:srgbClr val="375623"/>
            </a:solidFill>
          </c:spPr>
          <c:cat>
            <c:strRef>
              <c:f>'Nowcast Scenarios'!$A$5:$A$8</c:f>
              <c:strCache>
                <c:ptCount val="0"/>
              </c:strCache>
            </c:strRef>
          </c:cat>
          <c:val>
            <c:numRef>
              <c:f>'Nowcast Scenarios'!$I$5:$I$8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Vote intention since October 2025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Liberal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'Current Polls'!$V$5:$V$10</c:f>
              <c:strCache>
                <c:ptCount val="0"/>
              </c:strCache>
            </c:strRef>
          </c:cat>
          <c:val>
            <c:numRef>
              <c:f>'Current Polls'!$J$5:$J$10</c:f>
              <c:numCache>
                <c:formatCode>0"%"</c:formatCode>
                <c:ptCount val="0"/>
              </c:numCache>
            </c:numRef>
          </c:val>
          <c:smooth val="0"/>
        </c:ser>
        <c:ser>
          <c:idx val="1"/>
          <c:order val="1"/>
          <c:tx>
            <c:v>PC</c:v>
          </c:tx>
          <c:spPr>
            <a:solidFill xmlns:a="http://schemas.openxmlformats.org/drawingml/2006/main">
              <a:srgbClr val="2E74B5"/>
            </a:solidFill>
          </c:spPr>
          <c:marker>
            <c:symbol val="none"/>
          </c:marker>
          <c:cat>
            <c:strRef>
              <c:f>'Current Polls'!$V$5:$V$10</c:f>
              <c:strCache>
                <c:ptCount val="0"/>
              </c:strCache>
            </c:strRef>
          </c:cat>
          <c:val>
            <c:numRef>
              <c:f>'Current Polls'!$K$5:$K$10</c:f>
              <c:numCache>
                <c:formatCode>0"%"</c:formatCode>
                <c:ptCount val="0"/>
              </c:numCache>
            </c:numRef>
          </c:val>
          <c:smooth val="0"/>
        </c:ser>
        <c:ser>
          <c:idx val="2"/>
          <c:order val="2"/>
          <c:tx>
            <c:v>Green</c:v>
          </c:tx>
          <c:spPr>
            <a:solidFill xmlns:a="http://schemas.openxmlformats.org/drawingml/2006/main">
              <a:srgbClr val="375623"/>
            </a:solidFill>
          </c:spPr>
          <c:marker>
            <c:symbol val="none"/>
          </c:marker>
          <c:cat>
            <c:strRef>
              <c:f>'Current Polls'!$V$5:$V$10</c:f>
              <c:strCache>
                <c:ptCount val="0"/>
              </c:strCache>
            </c:strRef>
          </c:cat>
          <c:val>
            <c:numRef>
              <c:f>'Current Polls'!$L$5:$L$10</c:f>
              <c:numCache>
                <c:formatCode>0"%"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6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%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Holt approval turned net negative in June 2026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Approve</c:v>
          </c:tx>
          <c:spPr>
            <a:solidFill xmlns:a="http://schemas.openxmlformats.org/drawingml/2006/main">
              <a:srgbClr val="375623"/>
            </a:solidFill>
          </c:spPr>
          <c:marker>
            <c:symbol val="none"/>
          </c:marker>
          <c:cat>
            <c:strRef>
              <c:f>'Current Indicators'!$K$5:$K$11</c:f>
              <c:strCache>
                <c:ptCount val="0"/>
              </c:strCache>
            </c:strRef>
          </c:cat>
          <c:val>
            <c:numRef>
              <c:f>'Current Indicators'!$E$5:$E$11</c:f>
              <c:numCache>
                <c:formatCode>0"%"</c:formatCode>
                <c:ptCount val="0"/>
              </c:numCache>
            </c:numRef>
          </c:val>
          <c:smooth val="0"/>
        </c:ser>
        <c:ser>
          <c:idx val="1"/>
          <c:order val="1"/>
          <c:tx>
            <c:v>Disapprove</c:v>
          </c:tx>
          <c:spPr>
            <a:solidFill xmlns:a="http://schemas.openxmlformats.org/drawingml/2006/main">
              <a:srgbClr val="9C0006"/>
            </a:solidFill>
          </c:spPr>
          <c:marker>
            <c:symbol val="none"/>
          </c:marker>
          <c:cat>
            <c:strRef>
              <c:f>'Current Indicators'!$K$5:$K$11</c:f>
              <c:strCache>
                <c:ptCount val="0"/>
              </c:strCache>
            </c:strRef>
          </c:cat>
          <c:val>
            <c:numRef>
              <c:f>'Current Indicators'!$F$5:$F$11</c:f>
              <c:numCache>
                <c:formatCode>0"%"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7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&quot;%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Holt's day-674 lead is the smallest observed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Government lead</c:v>
          </c:tx>
          <c:spPr>
            <a:solidFill xmlns:a="http://schemas.openxmlformats.org/drawingml/2006/main">
              <a:srgbClr val="2E74B5"/>
            </a:solidFill>
          </c:spPr>
          <c:cat>
            <c:strRef>
              <c:f>'Day 674'!$A$5:$A$9</c:f>
              <c:strCache>
                <c:ptCount val="0"/>
              </c:strCache>
            </c:strRef>
          </c:cat>
          <c:val>
            <c:numRef>
              <c:f>'Day 674'!$M$5:$M$9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Change in government support since election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Swing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'Day 674'!$A$5:$A$9</c:f>
              <c:strCache>
                <c:ptCount val="0"/>
              </c:strCache>
            </c:strRef>
          </c:cat>
          <c:val>
            <c:numRef>
              <c:f>'Day 674'!$N$5:$N$9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Liberal seats range from 26 to 32 in current-poll scenarios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Liberal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'Nowcast Scenarios'!$A$5:$A$8</c:f>
              <c:strCache>
                <c:ptCount val="0"/>
              </c:strCache>
            </c:strRef>
          </c:cat>
          <c:val>
            <c:numRef>
              <c:f>'Nowcast Scenarios'!$G$5:$G$8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PC</c:v>
          </c:tx>
          <c:spPr>
            <a:solidFill xmlns:a="http://schemas.openxmlformats.org/drawingml/2006/main">
              <a:srgbClr val="2E74B5"/>
            </a:solidFill>
          </c:spPr>
          <c:cat>
            <c:strRef>
              <c:f>'Nowcast Scenarios'!$A$5:$A$8</c:f>
              <c:strCache>
                <c:ptCount val="0"/>
              </c:strCache>
            </c:strRef>
          </c:cat>
          <c:val>
            <c:numRef>
              <c:f>'Nowcast Scenarios'!$H$5:$H$8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Green</c:v>
          </c:tx>
          <c:spPr>
            <a:solidFill xmlns:a="http://schemas.openxmlformats.org/drawingml/2006/main">
              <a:srgbClr val="375623"/>
            </a:solidFill>
          </c:spPr>
          <c:cat>
            <c:strRef>
              <c:f>'Nowcast Scenarios'!$A$5:$A$8</c:f>
              <c:strCache>
                <c:ptCount val="0"/>
              </c:strCache>
            </c:strRef>
          </c:cat>
          <c:val>
            <c:numRef>
              <c:f>'Nowcast Scenarios'!$I$5:$I$8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818241d8374d54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3d4c5fee324d0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56edb9765d459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36ffff2e5f424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c2b8a6843d4089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9f5fa3719a45f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566c5a1b8445c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477b8bb22624e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0e8eb02148f42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219fb4ed4be43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922087d8e3ea40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458e4d69aa7f46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4" t="str">
        <x:v>Susan Holt at mandate day 674</x:v>
      </x:c>
      <x:c r="B1" s="4" t="str">
        <x:v>Susan Holt at mandate day 674</x:v>
      </x:c>
      <x:c r="C1" s="4" t="str">
        <x:v>Susan Holt at mandate day 674</x:v>
      </x:c>
      <x:c r="D1" s="4" t="str">
        <x:v>Susan Holt at mandate day 674</x:v>
      </x:c>
      <x:c r="E1" s="4" t="str">
        <x:v>Susan Holt at mandate day 674</x:v>
      </x:c>
      <x:c r="F1" s="4" t="str">
        <x:v>Susan Holt at mandate day 674</x:v>
      </x:c>
      <x:c r="G1" s="4" t="str">
        <x:v>Susan Holt at mandate day 674</x:v>
      </x:c>
      <x:c r="H1" s="4" t="str">
        <x:v>Susan Holt at mandate day 674</x:v>
      </x:c>
      <x:c r="I1" s="4" t="str">
        <x:v>Susan Holt at mandate day 674</x:v>
      </x:c>
      <x:c r="J1" s="4" t="str">
        <x:v>Susan Holt at mandate day 674</x:v>
      </x:c>
      <x:c r="K1" s="4" t="str">
        <x:v>Susan Holt at mandate day 674</x:v>
      </x:c>
      <x:c r="L1" s="4" t="str">
        <x:v>Susan Holt at mandate day 674</x:v>
      </x:c>
      <x:c r="M1" s="4" t="str">
        <x:v>Susan Holt at mandate day 674</x:v>
      </x:c>
      <x:c r="N1" s="4" t="str">
        <x:v>Susan Holt at mandate day 674</x:v>
      </x:c>
    </x:row>
    <x:row r="2" ht="25" customHeight="1">
      <x:c r="A2" s="161" t="str">
        <x:v>Current standing is favourable; the 2028 probability model is withdrawn because the evidence cannot calibrate it.</x:v>
      </x:c>
      <x:c r="B2" s="161" t="str">
        <x:v>Current standing is favourable; the 2028 probability model is withdrawn because the evidence cannot calibrate it.</x:v>
      </x:c>
      <x:c r="C2" s="161" t="str">
        <x:v>Current standing is favourable; the 2028 probability model is withdrawn because the evidence cannot calibrate it.</x:v>
      </x:c>
      <x:c r="D2" s="161" t="str">
        <x:v>Current standing is favourable; the 2028 probability model is withdrawn because the evidence cannot calibrate it.</x:v>
      </x:c>
      <x:c r="E2" s="161" t="str">
        <x:v>Current standing is favourable; the 2028 probability model is withdrawn because the evidence cannot calibrate it.</x:v>
      </x:c>
      <x:c r="F2" s="161" t="str">
        <x:v>Current standing is favourable; the 2028 probability model is withdrawn because the evidence cannot calibrate it.</x:v>
      </x:c>
      <x:c r="G2" s="161" t="str">
        <x:v>Current standing is favourable; the 2028 probability model is withdrawn because the evidence cannot calibrate it.</x:v>
      </x:c>
      <x:c r="H2" s="161" t="str">
        <x:v>Current standing is favourable; the 2028 probability model is withdrawn because the evidence cannot calibrate it.</x:v>
      </x:c>
      <x:c r="I2" s="161" t="str">
        <x:v>Current standing is favourable; the 2028 probability model is withdrawn because the evidence cannot calibrate it.</x:v>
      </x:c>
      <x:c r="J2" s="161" t="str">
        <x:v>Current standing is favourable; the 2028 probability model is withdrawn because the evidence cannot calibrate it.</x:v>
      </x:c>
      <x:c r="K2" s="161" t="str">
        <x:v>Current standing is favourable; the 2028 probability model is withdrawn because the evidence cannot calibrate it.</x:v>
      </x:c>
      <x:c r="L2" s="161" t="str">
        <x:v>Current standing is favourable; the 2028 probability model is withdrawn because the evidence cannot calibrate it.</x:v>
      </x:c>
      <x:c r="M2" s="161" t="str">
        <x:v>Current standing is favourable; the 2028 probability model is withdrawn because the evidence cannot calibrate it.</x:v>
      </x:c>
      <x:c r="N2" s="161" t="str">
        <x:v>Current standing is favourable; the 2028 probability model is withdrawn because the evidence cannot calibrate it.</x:v>
      </x:c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</x:row>
    <x:row r="4">
      <x:c r="A4" s="163" t="str">
        <x:v>Current L-PC lead</x:v>
      </x:c>
      <x:c r="B4" s="164"/>
      <x:c r="C4" s="165"/>
      <x:c r="D4" s="163" t="str">
        <x:v>Current Liberal support</x:v>
      </x:c>
      <x:c r="E4" s="164"/>
      <x:c r="F4" s="165"/>
      <x:c r="G4" s="163" t="str">
        <x:v>Uniform-swing seats</x:v>
      </x:c>
      <x:c r="H4" s="164"/>
      <x:c r="I4" s="165"/>
      <x:c r="J4" s="163" t="str">
        <x:v>2028 probability</x:v>
      </x:c>
      <x:c r="K4" s="164"/>
      <x:c r="L4" s="164"/>
      <x:c r="M4" s="164"/>
      <x:c r="N4" s="165"/>
    </x:row>
    <x:row r="5">
      <x:c r="A5" s="150" t="n">
        <x:f>'Model Audit'!$B$11</x:f>
        <x:v>10.189203268608836</x:v>
      </x:c>
      <x:c r="B5" s="142"/>
      <x:c r="C5" s="143"/>
      <x:c r="D5" s="151" t="n">
        <x:f>'Model Audit'!$B$8</x:f>
        <x:v>43.1541724958968</x:v>
      </x:c>
      <x:c r="E5" s="142"/>
      <x:c r="F5" s="143"/>
      <x:c r="G5" s="152" t="n">
        <x:f>'Nowcast Scenarios'!$G$8</x:f>
        <x:v>30</x:v>
      </x:c>
      <x:c r="H5" s="142"/>
      <x:c r="I5" s="143"/>
      <x:c r="J5" s="141" t="str">
        <x:v>NOT ESTIMATED</x:v>
      </x:c>
      <x:c r="K5" s="142"/>
      <x:c r="L5" s="142"/>
      <x:c r="M5" s="142"/>
      <x:c r="N5" s="143"/>
    </x:row>
    <x:row r="6">
      <x:c r="A6" s="144"/>
      <x:c r="B6" s="145"/>
      <x:c r="C6" s="146"/>
      <x:c r="D6" s="144"/>
      <x:c r="E6" s="145"/>
      <x:c r="F6" s="146"/>
      <x:c r="G6" s="144"/>
      <x:c r="H6" s="145"/>
      <x:c r="I6" s="146"/>
      <x:c r="J6" s="144"/>
      <x:c r="K6" s="145"/>
      <x:c r="L6" s="145"/>
      <x:c r="M6" s="145"/>
      <x:c r="N6" s="146"/>
    </x:row>
    <x:row r="7">
      <x:c r="A7" s="147"/>
      <x:c r="B7" s="148"/>
      <x:c r="C7" s="149"/>
      <x:c r="D7" s="147"/>
      <x:c r="E7" s="148"/>
      <x:c r="F7" s="149"/>
      <x:c r="G7" s="147"/>
      <x:c r="H7" s="148"/>
      <x:c r="I7" s="149"/>
      <x:c r="J7" s="147"/>
      <x:c r="K7" s="148"/>
      <x:c r="L7" s="148"/>
      <x:c r="M7" s="148"/>
      <x:c r="N7" s="149"/>
    </x:row>
    <x:row r="8">
      <x:c r="A8" s="162"/>
      <x:c r="B8" s="162"/>
      <x:c r="C8" s="162"/>
      <x:c r="D8" s="162"/>
      <x:c r="E8" s="162"/>
      <x:c r="F8" s="162"/>
      <x:c r="G8" s="162"/>
      <x:c r="H8" s="162"/>
      <x:c r="I8" s="162"/>
      <x:c r="J8" s="162"/>
      <x:c r="K8" s="162"/>
      <x:c r="L8" s="162"/>
      <x:c r="M8" s="162"/>
      <x:c r="N8" s="162"/>
    </x:row>
    <x:row r="9" ht="54" customHeight="1">
      <x:c r="A9" s="166" t="str">
        <x:v>Answer: on raw party-support, retention and change-from-election metrics, weaker than Graham and Gallant, weaker than the COVID-rally Higgs, and approximately level with Alward. Favoured in an election held now, but one-term risk is material and a fixed-date forecast is premature.</x:v>
      </x:c>
      <x:c r="B9" s="167"/>
      <x:c r="C9" s="167"/>
      <x:c r="D9" s="167"/>
      <x:c r="E9" s="167"/>
      <x:c r="F9" s="167"/>
      <x:c r="G9" s="167"/>
      <x:c r="H9" s="167"/>
      <x:c r="I9" s="167"/>
      <x:c r="J9" s="167"/>
      <x:c r="K9" s="167"/>
      <x:c r="L9" s="167"/>
      <x:c r="M9" s="167"/>
      <x:c r="N9" s="168"/>
    </x:row>
    <x:row r="10">
      <x:c r="A10" s="162"/>
      <x:c r="B10" s="162"/>
      <x:c r="C10" s="162"/>
      <x:c r="D10" s="162"/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</x:row>
    <x:row r="11">
      <x:c r="A11" s="162"/>
      <x:c r="B11" s="162"/>
      <x:c r="C11" s="162"/>
      <x:c r="D11" s="162"/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</x:row>
    <x:row r="12">
      <x:c r="A12" s="162"/>
      <x:c r="B12" s="162"/>
      <x:c r="C12" s="162"/>
      <x:c r="D12" s="162"/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</x:row>
    <x:row r="13">
      <x:c r="A13" s="162"/>
      <x:c r="B13" s="162"/>
      <x:c r="C13" s="162"/>
      <x:c r="D13" s="162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</x:row>
    <x:row r="14">
      <x:c r="A14" s="162"/>
      <x:c r="B14" s="162"/>
      <x:c r="C14" s="162"/>
      <x:c r="D14" s="162"/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</x:row>
    <x:row r="15">
      <x:c r="A15" s="162"/>
      <x:c r="B15" s="162"/>
      <x:c r="C15" s="162"/>
      <x:c r="D15" s="162"/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</x:row>
    <x:row r="16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</x:row>
    <x:row r="17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</x:row>
    <x:row r="18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</x:row>
    <x:row r="19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  <x:c r="L19" s="162"/>
      <x:c r="M19" s="162"/>
      <x:c r="N19" s="162"/>
    </x:row>
    <x:row r="20">
      <x:c r="A20" s="162"/>
      <x:c r="B20" s="162"/>
      <x:c r="C20" s="162"/>
      <x:c r="D20" s="162"/>
      <x:c r="E20" s="162"/>
      <x:c r="F20" s="162"/>
      <x:c r="G20" s="162"/>
      <x:c r="H20" s="162"/>
      <x:c r="I20" s="162"/>
      <x:c r="J20" s="162"/>
      <x:c r="K20" s="162"/>
      <x:c r="L20" s="162"/>
      <x:c r="M20" s="162"/>
      <x:c r="N20" s="162"/>
    </x:row>
    <x:row r="21">
      <x:c r="A21" s="162"/>
      <x:c r="B21" s="162"/>
      <x:c r="C21" s="162"/>
      <x:c r="D21" s="162"/>
      <x:c r="E21" s="162"/>
      <x:c r="F21" s="162"/>
      <x:c r="G21" s="162"/>
      <x:c r="H21" s="162"/>
      <x:c r="I21" s="162"/>
      <x:c r="J21" s="162"/>
      <x:c r="K21" s="162"/>
      <x:c r="L21" s="162"/>
      <x:c r="M21" s="162"/>
      <x:c r="N21" s="162"/>
    </x:row>
    <x:row r="22">
      <x:c r="A22" s="162"/>
      <x:c r="B22" s="162"/>
      <x:c r="C22" s="162"/>
      <x:c r="D22" s="162"/>
      <x:c r="E22" s="162"/>
      <x:c r="F22" s="162"/>
      <x:c r="G22" s="162"/>
      <x:c r="H22" s="162"/>
      <x:c r="I22" s="162"/>
      <x:c r="J22" s="162"/>
      <x:c r="K22" s="162"/>
      <x:c r="L22" s="162"/>
      <x:c r="M22" s="162"/>
      <x:c r="N22" s="162"/>
    </x:row>
    <x:row r="23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  <x:c r="K23" s="162"/>
      <x:c r="L23" s="162"/>
      <x:c r="M23" s="162"/>
      <x:c r="N23" s="162"/>
    </x:row>
    <x:row r="24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  <x:c r="K24" s="162"/>
      <x:c r="L24" s="162"/>
      <x:c r="M24" s="162"/>
      <x:c r="N24" s="162"/>
    </x:row>
    <x:row r="25">
      <x:c r="A25" s="162"/>
      <x:c r="B25" s="162"/>
      <x:c r="C25" s="162"/>
      <x:c r="D25" s="162"/>
      <x:c r="E25" s="162"/>
      <x:c r="F25" s="162"/>
      <x:c r="G25" s="162"/>
      <x:c r="H25" s="162"/>
      <x:c r="I25" s="162"/>
      <x:c r="J25" s="162"/>
      <x:c r="K25" s="162"/>
      <x:c r="L25" s="162"/>
      <x:c r="M25" s="162"/>
      <x:c r="N25" s="162"/>
    </x:row>
    <x:row r="26">
      <x:c r="A26" s="162"/>
      <x:c r="B26" s="162"/>
      <x:c r="C26" s="162"/>
      <x:c r="D26" s="162"/>
      <x:c r="E26" s="162"/>
      <x:c r="F26" s="162"/>
      <x:c r="G26" s="162"/>
      <x:c r="H26" s="162"/>
      <x:c r="I26" s="162"/>
      <x:c r="J26" s="162"/>
      <x:c r="K26" s="162"/>
      <x:c r="L26" s="162"/>
      <x:c r="M26" s="162"/>
      <x:c r="N26" s="162"/>
    </x:row>
    <x:row r="27">
      <x:c r="A27" s="162"/>
      <x:c r="B27" s="162"/>
      <x:c r="C27" s="162"/>
      <x:c r="D27" s="162"/>
      <x:c r="E27" s="162"/>
      <x:c r="F27" s="162"/>
      <x:c r="G27" s="162"/>
      <x:c r="H27" s="162"/>
      <x:c r="I27" s="162"/>
      <x:c r="J27" s="162"/>
      <x:c r="K27" s="162"/>
      <x:c r="L27" s="162"/>
      <x:c r="M27" s="162"/>
      <x:c r="N27" s="162"/>
    </x:row>
    <x:row r="28">
      <x:c r="A28" s="162"/>
      <x:c r="B28" s="162"/>
      <x:c r="C28" s="162"/>
      <x:c r="D28" s="162"/>
      <x:c r="E28" s="162"/>
      <x:c r="F28" s="162"/>
      <x:c r="G28" s="162"/>
      <x:c r="H28" s="162"/>
      <x:c r="I28" s="162"/>
      <x:c r="J28" s="162"/>
      <x:c r="K28" s="162"/>
      <x:c r="L28" s="162"/>
      <x:c r="M28" s="162"/>
      <x:c r="N28" s="162"/>
    </x:row>
    <x:row r="29">
      <x:c r="A29" s="162"/>
      <x:c r="B29" s="162"/>
      <x:c r="C29" s="162"/>
      <x:c r="D29" s="162"/>
      <x:c r="E29" s="162"/>
      <x:c r="F29" s="162"/>
      <x:c r="G29" s="162"/>
      <x:c r="H29" s="162"/>
      <x:c r="I29" s="162"/>
      <x:c r="J29" s="162"/>
      <x:c r="K29" s="162"/>
      <x:c r="L29" s="162"/>
      <x:c r="M29" s="162"/>
      <x:c r="N29" s="162"/>
    </x:row>
    <x:row r="30">
      <x:c r="A30" s="162"/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162"/>
      <x:c r="L30" s="162"/>
      <x:c r="M30" s="162"/>
      <x:c r="N30" s="162"/>
    </x:row>
    <x:row r="31">
      <x:c r="A31" s="169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B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C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D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E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F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G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H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I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J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K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L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M31" s="170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N31" s="171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</x:row>
    <x:row r="32">
      <x:c r="A32" s="172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B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C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D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E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F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G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H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I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J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K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L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M32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N32" s="174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</x:row>
    <x:row r="33">
      <x:c r="A33" s="172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B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C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D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E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F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G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H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I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J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K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L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M33" s="173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N33" s="174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</x:row>
    <x:row r="34">
      <x:c r="A34" s="175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B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C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D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E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F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G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H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I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J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K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L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M34" s="176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  <x:c r="N34" s="177" t="str">
        <x:v>Model gate: only three recent non-probability or mixed-panel polls, incomplete historical methods, three full-term analogues, a non-exchangeable 47-day Higgs horizon and no calibrated regional residual model. The workbook therefore reports scenarios, not invented probabilities.</x:v>
      </x:c>
    </x:row>
  </x:sheetData>
  <x:mergeCells>
    <x:mergeCell ref="A1:N1"/>
    <x:mergeCell ref="A2:N2"/>
    <x:mergeCell ref="A4:C4"/>
    <x:mergeCell ref="D4:F4"/>
    <x:mergeCell ref="G4:I4"/>
    <x:mergeCell ref="J4:N4"/>
    <x:mergeCell ref="A5:C7"/>
    <x:mergeCell ref="D5:F7"/>
    <x:mergeCell ref="G5:I7"/>
    <x:mergeCell ref="J5:N7"/>
    <x:mergeCell ref="A9:N9"/>
    <x:mergeCell ref="A31:N34"/>
  </x:mergeCells>
  <x:pageMargins left="0.7" right="0.7" top="0.75" bottom="0.75" header="0.3" footer="0.3"/>
  <x:drawing xmlns:r="http://schemas.openxmlformats.org/officeDocument/2006/relationships" r:id="R2477b8bb22624e5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Susan Holt mandate analysis: audit workbook</x:v>
      </x:c>
      <x:c r="B1" s="4" t="str">
        <x:v>Susan Holt mandate analysis: audit workbook</x:v>
      </x:c>
      <x:c r="C1" s="4" t="str">
        <x:v>Susan Holt mandate analysis: audit workbook</x:v>
      </x:c>
      <x:c r="D1" s="4" t="str">
        <x:v>Susan Holt mandate analysis: audit workbook</x:v>
      </x:c>
      <x:c r="E1" s="4" t="str">
        <x:v>Susan Holt mandate analysis: audit workbook</x:v>
      </x:c>
      <x:c r="F1" s="4" t="str">
        <x:v>Susan Holt mandate analysis: audit workbook</x:v>
      </x:c>
      <x:c r="G1" s="4" t="str">
        <x:v>Susan Holt mandate analysis: audit workbook</x:v>
      </x:c>
      <x:c r="H1" s="4" t="str">
        <x:v>Susan Holt mandate analysis: audit workbook</x:v>
      </x:c>
    </x:row>
    <x:row r="2" ht="25" customHeight="1">
      <x:c r="A2" s="161" t="str">
        <x:v>Evidence frozen at August 26, 2026. Canadian English. All percentages are percentage points unless stated otherwise.</x:v>
      </x:c>
      <x:c r="B2" s="161" t="str">
        <x:v>Evidence frozen at August 26, 2026. Canadian English. All percentages are percentage points unless stated otherwise.</x:v>
      </x:c>
      <x:c r="C2" s="161" t="str">
        <x:v>Evidence frozen at August 26, 2026. Canadian English. All percentages are percentage points unless stated otherwise.</x:v>
      </x:c>
      <x:c r="D2" s="161" t="str">
        <x:v>Evidence frozen at August 26, 2026. Canadian English. All percentages are percentage points unless stated otherwise.</x:v>
      </x:c>
      <x:c r="E2" s="161" t="str">
        <x:v>Evidence frozen at August 26, 2026. Canadian English. All percentages are percentage points unless stated otherwise.</x:v>
      </x:c>
      <x:c r="F2" s="161" t="str">
        <x:v>Evidence frozen at August 26, 2026. Canadian English. All percentages are percentage points unless stated otherwise.</x:v>
      </x:c>
      <x:c r="G2" s="161" t="str">
        <x:v>Evidence frozen at August 26, 2026. Canadian English. All percentages are percentage points unless stated otherwise.</x:v>
      </x:c>
      <x:c r="H2" s="161" t="str">
        <x:v>Evidence frozen at August 26, 2026. Canadian English. All percentages are percentage points unless stated otherwise.</x:v>
      </x:c>
    </x:row>
    <x:row r="3">
      <x:c r="A3" s="162"/>
      <x:c r="B3" s="162"/>
      <x:c r="C3" s="162"/>
      <x:c r="D3" s="162"/>
      <x:c r="E3" s="162"/>
      <x:c r="F3" s="162"/>
      <x:c r="G3" s="162"/>
      <x:c r="H3" s="162"/>
    </x:row>
    <x:row r="4">
      <x:c r="A4" s="178" t="str">
        <x:v>Evidence cutoff</x:v>
      </x:c>
      <x:c r="B4" s="20" t="n">
        <x:v>46260.416666666664</x:v>
      </x:c>
      <x:c r="C4" s="162"/>
      <x:c r="D4" s="162"/>
      <x:c r="E4" s="162"/>
      <x:c r="F4" s="162"/>
      <x:c r="G4" s="162"/>
      <x:c r="H4" s="162"/>
    </x:row>
    <x:row r="5">
      <x:c r="A5" s="179" t="str">
        <x:v>Primary mandate clock</x:v>
      </x:c>
      <x:c r="B5" s="18" t="n">
        <x:v>674</x:v>
      </x:c>
      <x:c r="C5" s="162"/>
      <x:c r="D5" s="162"/>
      <x:c r="E5" s="162"/>
      <x:c r="F5" s="162"/>
      <x:c r="G5" s="162"/>
      <x:c r="H5" s="162"/>
    </x:row>
    <x:row r="6">
      <x:c r="A6" s="179" t="str">
        <x:v>Office-clock sensitivity</x:v>
      </x:c>
      <x:c r="B6" s="18" t="n">
        <x:v>662</x:v>
      </x:c>
      <x:c r="C6" s="162"/>
      <x:c r="D6" s="162"/>
      <x:c r="E6" s="162"/>
      <x:c r="F6" s="162"/>
      <x:c r="G6" s="162"/>
      <x:c r="H6" s="162"/>
    </x:row>
    <x:row r="7">
      <x:c r="A7" s="179" t="str">
        <x:v>Ordinary election date</x:v>
      </x:c>
      <x:c r="B7" s="21" t="n">
        <x:v>47042.416666666664</x:v>
      </x:c>
      <x:c r="C7" s="162"/>
      <x:c r="D7" s="162"/>
      <x:c r="E7" s="162"/>
      <x:c r="F7" s="162"/>
      <x:c r="G7" s="162"/>
      <x:c r="H7" s="162"/>
    </x:row>
    <x:row r="8">
      <x:c r="A8" s="179" t="str">
        <x:v>Days to ordinary date</x:v>
      </x:c>
      <x:c r="B8" s="18" t="n">
        <x:v>782</x:v>
      </x:c>
      <x:c r="C8" s="162"/>
      <x:c r="D8" s="162"/>
      <x:c r="E8" s="162"/>
      <x:c r="F8" s="162"/>
      <x:c r="G8" s="162"/>
      <x:c r="H8" s="162"/>
    </x:row>
    <x:row r="9">
      <x:c r="A9" s="179" t="str">
        <x:v>Majority threshold</x:v>
      </x:c>
      <x:c r="B9" s="18" t="n">
        <x:v>25</x:v>
      </x:c>
      <x:c r="C9" s="162"/>
      <x:c r="D9" s="162"/>
      <x:c r="E9" s="162"/>
      <x:c r="F9" s="162"/>
      <x:c r="G9" s="162"/>
      <x:c r="H9" s="162"/>
    </x:row>
    <x:row r="10">
      <x:c r="A10" s="179" t="str">
        <x:v>Reserved random seed</x:v>
      </x:c>
      <x:c r="B10" s="18" t="n">
        <x:v>20260826</x:v>
      </x:c>
      <x:c r="C10" s="162"/>
      <x:c r="D10" s="162"/>
      <x:c r="E10" s="162"/>
      <x:c r="F10" s="162"/>
      <x:c r="G10" s="162"/>
      <x:c r="H10" s="162"/>
    </x:row>
    <x:row r="11">
      <x:c r="A11" s="179" t="str">
        <x:v>Current-model status</x:v>
      </x:c>
      <x:c r="B11" s="18" t="str">
        <x:v>Supported with caveats</x:v>
      </x:c>
      <x:c r="C11" s="162"/>
      <x:c r="D11" s="162"/>
      <x:c r="E11" s="162"/>
      <x:c r="F11" s="162"/>
      <x:c r="G11" s="162"/>
      <x:c r="H11" s="162"/>
    </x:row>
    <x:row r="12">
      <x:c r="A12" s="180" t="str">
        <x:v>2028 probability status</x:v>
      </x:c>
      <x:c r="B12" s="19" t="str">
        <x:v>WITHDRAWN by model gate</x:v>
      </x:c>
      <x:c r="C12" s="162"/>
      <x:c r="D12" s="162"/>
      <x:c r="E12" s="162"/>
      <x:c r="F12" s="162"/>
      <x:c r="G12" s="162"/>
      <x:c r="H12" s="162"/>
    </x:row>
    <x:row r="13">
      <x:c r="A13" s="162"/>
      <x:c r="B13" s="162"/>
      <x:c r="C13" s="162"/>
      <x:c r="D13" s="162"/>
      <x:c r="E13" s="162"/>
      <x:c r="F13" s="162"/>
      <x:c r="G13" s="162"/>
      <x:c r="H13" s="162"/>
    </x:row>
    <x:row r="14">
      <x:c r="A14" s="162"/>
      <x:c r="B14" s="162"/>
      <x:c r="C14" s="162"/>
      <x:c r="D14" s="162"/>
      <x:c r="E14" s="162"/>
      <x:c r="F14" s="162"/>
      <x:c r="G14" s="162"/>
      <x:c r="H14" s="162"/>
    </x:row>
    <x:row r="15">
      <x:c r="A15" s="163" t="str">
        <x:v>Definitions and non-negotiable distinctions</x:v>
      </x:c>
      <x:c r="B15" s="164"/>
      <x:c r="C15" s="164"/>
      <x:c r="D15" s="164"/>
      <x:c r="E15" s="164"/>
      <x:c r="F15" s="164"/>
      <x:c r="G15" s="164"/>
      <x:c r="H15" s="165"/>
    </x:row>
    <x:row r="16">
      <x:c r="A16" s="162"/>
      <x:c r="B16" s="162"/>
      <x:c r="C16" s="162"/>
      <x:c r="D16" s="162"/>
      <x:c r="E16" s="162"/>
      <x:c r="F16" s="162"/>
      <x:c r="G16" s="162"/>
      <x:c r="H16" s="162"/>
    </x:row>
    <x:row r="17">
      <x:c r="A17" s="25" t="str">
        <x:v>One-term government</x:v>
      </x:c>
      <x:c r="B17" s="28" t="str">
        <x:v>Liberals fail to remain governing party after the next election and initial confidence/government-formation process, conditional on Holt contesting as leader.</x:v>
      </x:c>
      <x:c r="C17" s="162"/>
      <x:c r="D17" s="162"/>
      <x:c r="E17" s="162"/>
      <x:c r="F17" s="162"/>
      <x:c r="G17" s="162"/>
      <x:c r="H17" s="162"/>
    </x:row>
    <x:row r="18">
      <x:c r="A18" s="26" t="str">
        <x:v>Current standing</x:v>
      </x:c>
      <x:c r="B18" s="29" t="str">
        <x:v>A time-decayed estimate of present party support. It is not a future-election forecast.</x:v>
      </x:c>
      <x:c r="C18" s="162"/>
      <x:c r="D18" s="162"/>
      <x:c r="E18" s="162"/>
      <x:c r="F18" s="162"/>
      <x:c r="G18" s="162"/>
      <x:c r="H18" s="162"/>
    </x:row>
    <x:row r="19">
      <x:c r="A19" s="26" t="str">
        <x:v>Election-held-today nowcast</x:v>
      </x:c>
      <x:c r="B19" s="29" t="str">
        <x:v>Deterministic 2024 riding baseline with uniform proportional swing. It has no assigned probability.</x:v>
      </x:c>
      <x:c r="C19" s="162"/>
      <x:c r="D19" s="162"/>
      <x:c r="E19" s="162"/>
      <x:c r="F19" s="162"/>
      <x:c r="G19" s="162"/>
      <x:c r="H19" s="162"/>
    </x:row>
    <x:row r="20">
      <x:c r="A20" s="26" t="str">
        <x:v>2028 forecast</x:v>
      </x:c>
      <x:c r="B20" s="29" t="str">
        <x:v>No calibrated probability is reported. Sparse, non-exchangeable histories and insufficient regional calibration fail the model gate.</x:v>
      </x:c>
      <x:c r="C20" s="162"/>
      <x:c r="D20" s="162"/>
      <x:c r="E20" s="162"/>
      <x:c r="F20" s="162"/>
      <x:c r="G20" s="162"/>
      <x:c r="H20" s="162"/>
    </x:row>
    <x:row r="21">
      <x:c r="A21" s="26" t="str">
        <x:v>Vote basis</x:v>
      </x:c>
      <x:c r="B21" s="29" t="str">
        <x:v>Reported decided-voter shares are preserved. Narrative's normalized row is explicitly derived from rounded all-eligible values.</x:v>
      </x:c>
      <x:c r="C21" s="162"/>
      <x:c r="D21" s="162"/>
      <x:c r="E21" s="162"/>
      <x:c r="F21" s="162"/>
      <x:c r="G21" s="162"/>
      <x:c r="H21" s="162"/>
    </x:row>
    <x:row r="22">
      <x:c r="A22" s="26" t="str">
        <x:v>Performance measures</x:v>
      </x:c>
      <x:c r="B22" s="29" t="str">
        <x:v>Government satisfaction, government handling, premier approval, favourability and preferred premier remain separate.</x:v>
      </x:c>
      <x:c r="C22" s="162"/>
      <x:c r="D22" s="162"/>
      <x:c r="E22" s="162"/>
      <x:c r="F22" s="162"/>
      <x:c r="G22" s="162"/>
      <x:c r="H22" s="162"/>
    </x:row>
    <x:row r="23">
      <x:c r="A23" s="26" t="str">
        <x:v>Source grades</x:v>
      </x:c>
      <x:c r="B23" s="29" t="str">
        <x:v>A = original official/pollster methodology; A- = primary but incomplete base detail; B = reliable contemporaneous secondary; C = discovery/completeness inventory only.</x:v>
      </x:c>
      <x:c r="C23" s="162"/>
      <x:c r="D23" s="162"/>
      <x:c r="E23" s="162"/>
      <x:c r="F23" s="162"/>
      <x:c r="G23" s="162"/>
      <x:c r="H23" s="162"/>
    </x:row>
    <x:row r="24">
      <x:c r="A24" s="27" t="str">
        <x:v>Riding reconciliation</x:v>
      </x:c>
      <x:c r="B24" s="30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C24" s="162"/>
      <x:c r="D24" s="162"/>
      <x:c r="E24" s="162"/>
      <x:c r="F24" s="162"/>
      <x:c r="G24" s="162"/>
      <x:c r="H24" s="162"/>
    </x:row>
    <x:row r="25">
      <x:c r="A25" s="162"/>
      <x:c r="B25" s="162"/>
      <x:c r="C25" s="162"/>
      <x:c r="D25" s="162"/>
      <x:c r="E25" s="162"/>
      <x:c r="F25" s="162"/>
      <x:c r="G25" s="162"/>
      <x:c r="H25" s="162"/>
    </x:row>
    <x:row r="26">
      <x:c r="A26" s="162"/>
      <x:c r="B26" s="162"/>
      <x:c r="C26" s="162"/>
      <x:c r="D26" s="162"/>
      <x:c r="E26" s="162"/>
      <x:c r="F26" s="162"/>
      <x:c r="G26" s="162"/>
      <x:c r="H26" s="162"/>
    </x:row>
    <x:row r="27">
      <x:c r="A27" s="163" t="str">
        <x:v>Model gate</x:v>
      </x:c>
      <x:c r="B27" s="164"/>
      <x:c r="C27" s="164"/>
      <x:c r="D27" s="164"/>
      <x:c r="E27" s="164"/>
      <x:c r="F27" s="164"/>
      <x:c r="G27" s="164"/>
      <x:c r="H27" s="165"/>
    </x:row>
    <x:row r="28">
      <x:c r="A28" s="162"/>
      <x:c r="B28" s="162"/>
      <x:c r="C28" s="162"/>
      <x:c r="D28" s="162"/>
      <x:c r="E28" s="162"/>
      <x:c r="F28" s="162"/>
      <x:c r="G28" s="162"/>
      <x:c r="H28" s="162"/>
    </x:row>
    <x:row r="29">
      <x:c r="A29" s="28" t="str">
        <x:v>1. Only three independent 2026 polls are available, all from non-probability online or mixed panels.</x:v>
      </x:c>
      <x:c r="B29" s="28"/>
      <x:c r="C29" s="28"/>
      <x:c r="D29" s="28"/>
      <x:c r="E29" s="28"/>
      <x:c r="F29" s="28"/>
      <x:c r="G29" s="28"/>
      <x:c r="H29" s="28"/>
    </x:row>
    <x:row r="30">
      <x:c r="A30" s="29" t="str">
        <x:v>2. Historical New Brunswick poll metadata are incomplete, especially for Graham and Alward.</x:v>
      </x:c>
      <x:c r="B30" s="29"/>
      <x:c r="C30" s="29"/>
      <x:c r="D30" s="29"/>
      <x:c r="E30" s="29"/>
      <x:c r="F30" s="29"/>
      <x:c r="G30" s="29"/>
      <x:c r="H30" s="29"/>
    </x:row>
    <x:row r="31">
      <x:c r="A31" s="29" t="str">
        <x:v>3. Only four named completed first-term analogues exist, and Higgs had a 47-day snap-election horizon rather than a full-term horizon.</x:v>
      </x:c>
      <x:c r="B31" s="29"/>
      <x:c r="C31" s="29"/>
      <x:c r="D31" s="29"/>
      <x:c r="E31" s="29"/>
      <x:c r="F31" s="29"/>
      <x:c r="G31" s="29"/>
      <x:c r="H31" s="29"/>
    </x:row>
    <x:row r="32">
      <x:c r="A32" s="29" t="str">
        <x:v>4. A 30-plus-mandate Canadian training set with contemporaneous polling vintages and consistent outcome definitions was not verified by the evidence cutoff.</x:v>
      </x:c>
      <x:c r="B32" s="29"/>
      <x:c r="C32" s="29"/>
      <x:c r="D32" s="29"/>
      <x:c r="E32" s="29"/>
      <x:c r="F32" s="29"/>
      <x:c r="G32" s="29"/>
      <x:c r="H32" s="29"/>
    </x:row>
    <x:row r="33">
      <x:c r="A33" s="30" t="str">
        <x:v>5. Current regional subsamples are too small or undisclosed to calibrate riding residuals and Green concentration probabilistically.</x:v>
      </x:c>
      <x:c r="B33" s="30"/>
      <x:c r="C33" s="30"/>
      <x:c r="D33" s="30"/>
      <x:c r="E33" s="30"/>
      <x:c r="F33" s="30"/>
      <x:c r="G33" s="30"/>
      <x:c r="H33" s="30"/>
    </x:row>
  </x:sheetData>
  <x:mergeCells>
    <x:mergeCell ref="A1:H1"/>
    <x:mergeCell ref="A2:H2"/>
    <x:mergeCell ref="A15:H15"/>
    <x:mergeCell ref="A27:H27"/>
    <x:mergeCell ref="A29:H29"/>
    <x:mergeCell ref="A30:H30"/>
    <x:mergeCell ref="A31:H31"/>
    <x:mergeCell ref="A32:H32"/>
    <x:mergeCell ref="A33:H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9" hidden="0" customWidth="1"/>
    <x:col min="7" max="7" width="12" hidden="0" customWidth="1"/>
    <x:col min="8" max="8" width="28" hidden="0" customWidth="1"/>
    <x:col min="9" max="9" width="33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1" hidden="0" customWidth="1"/>
    <x:col min="15" max="15" width="11" hidden="0" customWidth="1"/>
    <x:col min="16" max="16" width="10" hidden="0" customWidth="1"/>
    <x:col min="17" max="17" width="10" hidden="0" customWidth="1"/>
    <x:col min="18" max="18" width="14" hidden="0" customWidth="1"/>
    <x:col min="19" max="19" width="14" hidden="0" customWidth="1"/>
    <x:col min="20" max="20" width="10" hidden="0" customWidth="1"/>
    <x:col min="21" max="21" width="58" hidden="0" customWidth="1"/>
    <x:col min="22" max="22" width="12" hidden="0" customWidth="1"/>
    <x:col min="23" max="23" width="13" hidden="0" customWidth="1"/>
    <x:col min="24" max="24" width="70" hidden="0" customWidth="1"/>
  </x:cols>
  <x:sheetData>
    <x:row r="1" ht="30" customHeight="1">
      <x:c r="A1" s="4" t="str">
        <x:v>Current New Brunswick vote-intention ledger</x:v>
      </x:c>
      <x:c r="B1" s="4" t="str">
        <x:v>Current New Brunswick vote-intention ledger</x:v>
      </x:c>
      <x:c r="C1" s="4" t="str">
        <x:v>Current New Brunswick vote-intention ledger</x:v>
      </x:c>
      <x:c r="D1" s="4" t="str">
        <x:v>Current New Brunswick vote-intention ledger</x:v>
      </x:c>
      <x:c r="E1" s="4" t="str">
        <x:v>Current New Brunswick vote-intention ledger</x:v>
      </x:c>
      <x:c r="F1" s="4" t="str">
        <x:v>Current New Brunswick vote-intention ledger</x:v>
      </x:c>
      <x:c r="G1" s="4" t="str">
        <x:v>Current New Brunswick vote-intention ledger</x:v>
      </x:c>
      <x:c r="H1" s="4" t="str">
        <x:v>Current New Brunswick vote-intention ledger</x:v>
      </x:c>
      <x:c r="I1" s="4" t="str">
        <x:v>Current New Brunswick vote-intention ledger</x:v>
      </x:c>
      <x:c r="J1" s="4" t="str">
        <x:v>Current New Brunswick vote-intention ledger</x:v>
      </x:c>
      <x:c r="K1" s="4" t="str">
        <x:v>Current New Brunswick vote-intention ledger</x:v>
      </x:c>
      <x:c r="L1" s="4" t="str">
        <x:v>Current New Brunswick vote-intention ledger</x:v>
      </x:c>
      <x:c r="M1" s="4" t="str">
        <x:v>Current New Brunswick vote-intention ledger</x:v>
      </x:c>
      <x:c r="N1" s="4" t="str">
        <x:v>Current New Brunswick vote-intention ledger</x:v>
      </x:c>
      <x:c r="O1" s="4" t="str">
        <x:v>Current New Brunswick vote-intention ledger</x:v>
      </x:c>
      <x:c r="P1" s="4" t="str">
        <x:v>Current New Brunswick vote-intention ledger</x:v>
      </x:c>
      <x:c r="Q1" s="4" t="str">
        <x:v>Current New Brunswick vote-intention ledger</x:v>
      </x:c>
      <x:c r="R1" s="4" t="str">
        <x:v>Current New Brunswick vote-intention ledger</x:v>
      </x:c>
      <x:c r="S1" s="4" t="str">
        <x:v>Current New Brunswick vote-intention ledger</x:v>
      </x:c>
      <x:c r="T1" s="4" t="str">
        <x:v>Current New Brunswick vote-intention ledger</x:v>
      </x:c>
      <x:c r="U1" s="4" t="str">
        <x:v>Current New Brunswick vote-intention ledger</x:v>
      </x:c>
      <x:c r="V1" s="4" t="str">
        <x:v>Current New Brunswick vote-intention ledger</x:v>
      </x:c>
      <x:c r="W1" s="4" t="str">
        <x:v>Current New Brunswick vote-intention ledger</x:v>
      </x:c>
      <x:c r="X1" s="4" t="str">
        <x:v>Current New Brunswick vote-intention ledger</x:v>
      </x:c>
    </x:row>
    <x:row r="2" ht="25" customHeight="1">
      <x:c r="A2" s="161" t="str">
        <x:v>Core ensemble rows are the three independent 2026 polls. Non-probability panels do not receive a classical margin of error; variance-base fields support a diagnostic only.</x:v>
      </x:c>
      <x:c r="B2" s="161" t="str">
        <x:v>Core ensemble rows are the three independent 2026 polls. Non-probability panels do not receive a classical margin of error; variance-base fields support a diagnostic only.</x:v>
      </x:c>
      <x:c r="C2" s="161" t="str">
        <x:v>Core ensemble rows are the three independent 2026 polls. Non-probability panels do not receive a classical margin of error; variance-base fields support a diagnostic only.</x:v>
      </x:c>
      <x:c r="D2" s="161" t="str">
        <x:v>Core ensemble rows are the three independent 2026 polls. Non-probability panels do not receive a classical margin of error; variance-base fields support a diagnostic only.</x:v>
      </x:c>
      <x:c r="E2" s="161" t="str">
        <x:v>Core ensemble rows are the three independent 2026 polls. Non-probability panels do not receive a classical margin of error; variance-base fields support a diagnostic only.</x:v>
      </x:c>
      <x:c r="F2" s="161" t="str">
        <x:v>Core ensemble rows are the three independent 2026 polls. Non-probability panels do not receive a classical margin of error; variance-base fields support a diagnostic only.</x:v>
      </x:c>
      <x:c r="G2" s="161" t="str">
        <x:v>Core ensemble rows are the three independent 2026 polls. Non-probability panels do not receive a classical margin of error; variance-base fields support a diagnostic only.</x:v>
      </x:c>
      <x:c r="H2" s="161" t="str">
        <x:v>Core ensemble rows are the three independent 2026 polls. Non-probability panels do not receive a classical margin of error; variance-base fields support a diagnostic only.</x:v>
      </x:c>
      <x:c r="I2" s="161" t="str">
        <x:v>Core ensemble rows are the three independent 2026 polls. Non-probability panels do not receive a classical margin of error; variance-base fields support a diagnostic only.</x:v>
      </x:c>
      <x:c r="J2" s="161" t="str">
        <x:v>Core ensemble rows are the three independent 2026 polls. Non-probability panels do not receive a classical margin of error; variance-base fields support a diagnostic only.</x:v>
      </x:c>
      <x:c r="K2" s="161" t="str">
        <x:v>Core ensemble rows are the three independent 2026 polls. Non-probability panels do not receive a classical margin of error; variance-base fields support a diagnostic only.</x:v>
      </x:c>
      <x:c r="L2" s="161" t="str">
        <x:v>Core ensemble rows are the three independent 2026 polls. Non-probability panels do not receive a classical margin of error; variance-base fields support a diagnostic only.</x:v>
      </x:c>
      <x:c r="M2" s="161" t="str">
        <x:v>Core ensemble rows are the three independent 2026 polls. Non-probability panels do not receive a classical margin of error; variance-base fields support a diagnostic only.</x:v>
      </x:c>
      <x:c r="N2" s="161" t="str">
        <x:v>Core ensemble rows are the three independent 2026 polls. Non-probability panels do not receive a classical margin of error; variance-base fields support a diagnostic only.</x:v>
      </x:c>
      <x:c r="O2" s="161" t="str">
        <x:v>Core ensemble rows are the three independent 2026 polls. Non-probability panels do not receive a classical margin of error; variance-base fields support a diagnostic only.</x:v>
      </x:c>
      <x:c r="P2" s="161" t="str">
        <x:v>Core ensemble rows are the three independent 2026 polls. Non-probability panels do not receive a classical margin of error; variance-base fields support a diagnostic only.</x:v>
      </x:c>
      <x:c r="Q2" s="161" t="str">
        <x:v>Core ensemble rows are the three independent 2026 polls. Non-probability panels do not receive a classical margin of error; variance-base fields support a diagnostic only.</x:v>
      </x:c>
      <x:c r="R2" s="161" t="str">
        <x:v>Core ensemble rows are the three independent 2026 polls. Non-probability panels do not receive a classical margin of error; variance-base fields support a diagnostic only.</x:v>
      </x:c>
      <x:c r="S2" s="161" t="str">
        <x:v>Core ensemble rows are the three independent 2026 polls. Non-probability panels do not receive a classical margin of error; variance-base fields support a diagnostic only.</x:v>
      </x:c>
      <x:c r="T2" s="161" t="str">
        <x:v>Core ensemble rows are the three independent 2026 polls. Non-probability panels do not receive a classical margin of error; variance-base fields support a diagnostic only.</x:v>
      </x:c>
      <x:c r="U2" s="161" t="str">
        <x:v>Core ensemble rows are the three independent 2026 polls. Non-probability panels do not receive a classical margin of error; variance-base fields support a diagnostic only.</x:v>
      </x:c>
      <x:c r="V2" s="161" t="str">
        <x:v>Core ensemble rows are the three independent 2026 polls. Non-probability panels do not receive a classical margin of error; variance-base fields support a diagnostic only.</x:v>
      </x:c>
      <x:c r="W2" s="161" t="str">
        <x:v>Core ensemble rows are the three independent 2026 polls. Non-probability panels do not receive a classical margin of error; variance-base fields support a diagnostic only.</x:v>
      </x:c>
      <x:c r="X2" s="161" t="str">
        <x:v>Core ensemble rows are the three independent 2026 polls. Non-probability panels do not receive a classical margin of error; variance-base fields support a diagnostic only.</x:v>
      </x:c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</x:row>
    <x:row r="4" ht="30" customHeight="1">
      <x:c r="A4" s="39" t="str">
        <x:v>Poll ID</x:v>
      </x:c>
      <x:c r="B4" s="40" t="str">
        <x:v>Pollster</x:v>
      </x:c>
      <x:c r="C4" s="40" t="str">
        <x:v>Field start</x:v>
      </x:c>
      <x:c r="D4" s="40" t="str">
        <x:v>Field end</x:v>
      </x:c>
      <x:c r="E4" s="40" t="str">
        <x:v>Midpoint</x:v>
      </x:c>
      <x:c r="F4" s="40" t="str">
        <x:v>n total</x:v>
      </x:c>
      <x:c r="G4" s="40" t="str">
        <x:v>n decided / effective</x:v>
      </x:c>
      <x:c r="H4" s="40" t="str">
        <x:v>Mode</x:v>
      </x:c>
      <x:c r="I4" s="40" t="str">
        <x:v>Basis</x:v>
      </x:c>
      <x:c r="J4" s="40" t="str">
        <x:v>Liberal</x:v>
      </x:c>
      <x:c r="K4" s="40" t="str">
        <x:v>PC</x:v>
      </x:c>
      <x:c r="L4" s="40" t="str">
        <x:v>Green</x:v>
      </x:c>
      <x:c r="M4" s="40" t="str">
        <x:v>Other</x:v>
      </x:c>
      <x:c r="N4" s="40" t="str">
        <x:v>Undecided</x:v>
      </x:c>
      <x:c r="O4" s="40" t="str">
        <x:v>L-PC lead</x:v>
      </x:c>
      <x:c r="P4" s="40" t="str">
        <x:v>Core 2026</x:v>
      </x:c>
      <x:c r="Q4" s="40" t="str">
        <x:v>Age days</x:v>
      </x:c>
      <x:c r="R4" s="40" t="str">
        <x:v>Raw recency weight</x:v>
      </x:c>
      <x:c r="S4" s="40" t="str">
        <x:v>Normalized weight</x:v>
      </x:c>
      <x:c r="T4" s="40" t="str">
        <x:v>Grade</x:v>
      </x:c>
      <x:c r="U4" s="40" t="str">
        <x:v>Source URL</x:v>
      </x:c>
      <x:c r="V4" s="40" t="str">
        <x:v>Chart label</x:v>
      </x:c>
      <x:c r="W4" s="40" t="str">
        <x:v>n used for variance</x:v>
      </x:c>
      <x:c r="X4" s="41" t="str">
        <x:v>Variance-base provenance</x:v>
      </x:c>
    </x:row>
    <x:row r="5">
      <x:c r="A5" s="17" t="str">
        <x:v>holt-2025-10-abacus</x:v>
      </x:c>
      <x:c r="B5" s="17" t="str">
        <x:v>Abacus Data</x:v>
      </x:c>
      <x:c r="C5" s="20" t="n">
        <x:v>45954.416666666664</x:v>
      </x:c>
      <x:c r="D5" s="20" t="n">
        <x:v>45960.458333333336</x:v>
      </x:c>
      <x:c r="E5" s="20" t="n">
        <x:v>45957.458333333336</x:v>
      </x:c>
      <x:c r="F5" s="17" t="n">
        <x:v>600</x:v>
      </x:c>
      <x:c r="G5" s="17"/>
      <x:c r="H5" s="17" t="str">
        <x:v>Online partner panel</x:v>
      </x:c>
      <x:c r="I5" s="17" t="str">
        <x:v>Decided/current committed voters</x:v>
      </x:c>
      <x:c r="J5" s="51" t="n">
        <x:v>53</x:v>
      </x:c>
      <x:c r="K5" s="51" t="n">
        <x:v>29</x:v>
      </x:c>
      <x:c r="L5" s="51" t="n">
        <x:v>11</x:v>
      </x:c>
      <x:c r="M5" s="51" t="n">
        <x:v>3</x:v>
      </x:c>
      <x:c r="N5" s="51"/>
      <x:c r="O5" s="51" t="n">
        <x:f>J5-K5</x:f>
        <x:v>24</x:v>
      </x:c>
      <x:c r="P5" s="47" t="b">
        <x:v>0</x:v>
      </x:c>
      <x:c r="Q5" s="17" t="n">
        <x:f>'Read Me'!$B$4-(C5+D5)/2</x:f>
        <x:v>302.97916666666424</x:v>
      </x:c>
      <x:c r="R5" s="54" t="n">
        <x:f>IF(P5=TRUE,POWER(0.5,Q5/'Model Audit'!$B$5),0)</x:f>
        <x:v>0</x:v>
      </x:c>
      <x:c r="S5" s="54" t="n">
        <x:f>IF(R5=0,0,R5/SUM($R$5:$R$10))</x:f>
        <x:v>0</x:v>
      </x:c>
      <x:c r="T5" s="17" t="str">
        <x:v>A-</x:v>
      </x:c>
      <x:c r="U5" s="17" t="str">
        <x:v>https://abacusdata.ca/abacus-data-new-brunswick-poll-one-year-in-susan-holts-liberals-strengthen-their-lead/</x:v>
      </x:c>
      <x:c r="V5" s="17" t="str">
        <x:f>TEXT(E5,"yyyy-mm")</x:f>
        <x:v>2025-10</x:v>
      </x:c>
      <x:c r="W5" s="17"/>
      <x:c r="X5" s="17"/>
    </x:row>
    <x:row r="6">
      <x:c r="A6" s="18" t="str">
        <x:v>holt-2025-11-porter</x:v>
      </x:c>
      <x:c r="B6" s="18" t="str">
        <x:v>Porter O'Brien</x:v>
      </x:c>
      <x:c r="C6" s="21" t="n">
        <x:v>45980.458333333336</x:v>
      </x:c>
      <x:c r="D6" s="21" t="n">
        <x:v>45986.458333333336</x:v>
      </x:c>
      <x:c r="E6" s="21" t="n">
        <x:v>45983.458333333336</x:v>
      </x:c>
      <x:c r="F6" s="18" t="n">
        <x:v>813</x:v>
      </x:c>
      <x:c r="G6" s="18"/>
      <x:c r="H6" s="18" t="str">
        <x:v>Not fully disclosed for prior wave</x:v>
      </x:c>
      <x:c r="I6" s="18" t="str">
        <x:v>Decided voters</x:v>
      </x:c>
      <x:c r="J6" s="52" t="n">
        <x:v>49</x:v>
      </x:c>
      <x:c r="K6" s="52" t="n">
        <x:v>40</x:v>
      </x:c>
      <x:c r="L6" s="52" t="n">
        <x:v>8</x:v>
      </x:c>
      <x:c r="M6" s="52" t="n">
        <x:v>3</x:v>
      </x:c>
      <x:c r="N6" s="52" t="n">
        <x:v>14</x:v>
      </x:c>
      <x:c r="O6" s="52" t="n">
        <x:f>J6-K6</x:f>
        <x:v>9</x:v>
      </x:c>
      <x:c r="P6" s="48" t="b">
        <x:v>0</x:v>
      </x:c>
      <x:c r="Q6" s="18" t="n">
        <x:f>'Read Me'!$B$4-(C6+D6)/2</x:f>
        <x:v>276.9583333333285</x:v>
      </x:c>
      <x:c r="R6" s="55" t="n">
        <x:f>IF(P6=TRUE,POWER(0.5,Q6/'Model Audit'!$B$5),0)</x:f>
        <x:v>0</x:v>
      </x:c>
      <x:c r="S6" s="55" t="n">
        <x:f>IF(R6=0,0,R6/SUM($R$5:$R$10))</x:f>
        <x:v>0</x:v>
      </x:c>
      <x:c r="T6" s="18" t="str">
        <x:v>B</x:v>
      </x:c>
      <x:c r="U6" s="18" t="str">
        <x:v>https://www.porterobrien.com/post/porter-o-brien-releases-first-public-semi-annual-new-brunswick-poll-liberals-narrowly-lead-pcs-amo</x:v>
      </x:c>
      <x:c r="V6" s="18" t="str">
        <x:f>TEXT(E6,"yyyy-mm")</x:f>
        <x:v>2025-11</x:v>
      </x:c>
      <x:c r="W6" s="18"/>
      <x:c r="X6" s="18"/>
    </x:row>
    <x:row r="7">
      <x:c r="A7" s="18" t="str">
        <x:v>holt-2025-11-angus-reid</x:v>
      </x:c>
      <x:c r="B7" s="18" t="str">
        <x:v>Angus Reid Institute</x:v>
      </x:c>
      <x:c r="C7" s="21" t="n">
        <x:v>45987.458333333336</x:v>
      </x:c>
      <x:c r="D7" s="21" t="n">
        <x:v>45992.458333333336</x:v>
      </x:c>
      <x:c r="E7" s="21" t="n">
        <x:v>45989.458333333336</x:v>
      </x:c>
      <x:c r="F7" s="18" t="n">
        <x:v>231</x:v>
      </x:c>
      <x:c r="G7" s="18" t="n">
        <x:v>203</x:v>
      </x:c>
      <x:c r="H7" s="18" t="str">
        <x:v>Online Angus Reid Forum</x:v>
      </x:c>
      <x:c r="I7" s="18" t="str">
        <x:v>Decided plus leaners</x:v>
      </x:c>
      <x:c r="J7" s="52" t="n">
        <x:v>49</x:v>
      </x:c>
      <x:c r="K7" s="52" t="n">
        <x:v>32</x:v>
      </x:c>
      <x:c r="L7" s="52" t="n">
        <x:v>11</x:v>
      </x:c>
      <x:c r="M7" s="52" t="n">
        <x:v>5</x:v>
      </x:c>
      <x:c r="N7" s="52"/>
      <x:c r="O7" s="52" t="n">
        <x:f>J7-K7</x:f>
        <x:v>17</x:v>
      </x:c>
      <x:c r="P7" s="48" t="b">
        <x:v>0</x:v>
      </x:c>
      <x:c r="Q7" s="18" t="n">
        <x:f>'Read Me'!$B$4-(C7+D7)/2</x:f>
        <x:v>270.4583333333285</x:v>
      </x:c>
      <x:c r="R7" s="55" t="n">
        <x:f>IF(P7=TRUE,POWER(0.5,Q7/'Model Audit'!$B$5),0)</x:f>
        <x:v>0</x:v>
      </x:c>
      <x:c r="S7" s="55" t="n">
        <x:f>IF(R7=0,0,R7/SUM($R$5:$R$10))</x:f>
        <x:v>0</x:v>
      </x:c>
      <x:c r="T7" s="18" t="str">
        <x:v>A</x:v>
      </x:c>
      <x:c r="U7" s="18" t="str">
        <x:v>https://angusreid.org/government-satisfaction-december-2025/</x:v>
      </x:c>
      <x:c r="V7" s="18" t="str">
        <x:f>TEXT(E7,"yyyy-mm")</x:f>
        <x:v>2025-11</x:v>
      </x:c>
      <x:c r="W7" s="18"/>
      <x:c r="X7" s="18"/>
    </x:row>
    <x:row r="8">
      <x:c r="A8" s="18" t="str">
        <x:v>holt-2026-05-porter</x:v>
      </x:c>
      <x:c r="B8" s="18" t="str">
        <x:v>Porter O'Brien</x:v>
      </x:c>
      <x:c r="C8" s="21" t="n">
        <x:v>46169.416666666664</x:v>
      </x:c>
      <x:c r="D8" s="21" t="n">
        <x:v>46176.416666666664</x:v>
      </x:c>
      <x:c r="E8" s="21" t="n">
        <x:v>46172.416666666664</x:v>
      </x:c>
      <x:c r="F8" s="18" t="n">
        <x:v>802</x:v>
      </x:c>
      <x:c r="G8" s="18" t="n">
        <x:v>603</x:v>
      </x:c>
      <x:c r="H8" s="18" t="str">
        <x:v>Mixed opt-in panel and SMS/text-to-web</x:v>
      </x:c>
      <x:c r="I8" s="18" t="str">
        <x:v>Decided voters</x:v>
      </x:c>
      <x:c r="J8" s="52" t="n">
        <x:v>43</x:v>
      </x:c>
      <x:c r="K8" s="52" t="n">
        <x:v>39</x:v>
      </x:c>
      <x:c r="L8" s="52" t="n">
        <x:v>13</x:v>
      </x:c>
      <x:c r="M8" s="52" t="n">
        <x:v>5</x:v>
      </x:c>
      <x:c r="N8" s="52" t="n">
        <x:v>21</x:v>
      </x:c>
      <x:c r="O8" s="52" t="n">
        <x:f>J8-K8</x:f>
        <x:v>4</x:v>
      </x:c>
      <x:c r="P8" s="48" t="b">
        <x:v>1</x:v>
      </x:c>
      <x:c r="Q8" s="18" t="n">
        <x:f>'Read Me'!$B$4-(C8+D8)/2</x:f>
        <x:v>87.5</x:v>
      </x:c>
      <x:c r="R8" s="55" t="n">
        <x:f>IF(P8=TRUE,POWER(0.5,Q8/'Model Audit'!$B$5),0)</x:f>
        <x:v>0.5097203218510724</x:v>
      </x:c>
      <x:c r="S8" s="55" t="n">
        <x:f>IF(R8=0,0,R8/SUM($R$5:$R$10))</x:f>
        <x:v>0.26660162310677255</x:v>
      </x:c>
      <x:c r="T8" s="18" t="str">
        <x:v>A</x:v>
      </x:c>
      <x:c r="U8" s="18" t="str">
        <x:v>https://www.porterobrien.com/post/porter-o-brien-releases-first-public-semi-annual-new-brunswick-poll-liberals-narrowly-lead-pcs-amo</x:v>
      </x:c>
      <x:c r="V8" s="18" t="str">
        <x:f>TEXT(E8,"yyyy-mm")</x:f>
        <x:v>2026-05</x:v>
      </x:c>
      <x:c r="W8" s="18" t="n">
        <x:v>603</x:v>
      </x:c>
      <x:c r="X8" s="18" t="str">
        <x:v>Reported decided-voter base.</x:v>
      </x:c>
    </x:row>
    <x:row r="9">
      <x:c r="A9" s="18" t="str">
        <x:v>holt-2026-06-narrative-derived</x:v>
      </x:c>
      <x:c r="B9" s="18" t="str">
        <x:v>Narrative Research</x:v>
      </x:c>
      <x:c r="C9" s="21" t="n">
        <x:v>46183.416666666664</x:v>
      </x:c>
      <x:c r="D9" s="21" t="n">
        <x:v>46190.416666666664</x:v>
      </x:c>
      <x:c r="E9" s="21" t="n">
        <x:v>46186.416666666664</x:v>
      </x:c>
      <x:c r="F9" s="18" t="n">
        <x:v>495</x:v>
      </x:c>
      <x:c r="G9" s="18" t="n">
        <x:v>342</x:v>
      </x:c>
      <x:c r="H9" s="18" t="str">
        <x:v>Online East Coast Voice panel</x:v>
      </x:c>
      <x:c r="I9" s="18" t="str">
        <x:v>Derived decided normalization of rounded all-eligible values</x:v>
      </x:c>
      <x:c r="J9" s="52" t="n">
        <x:v>40.57971014492754</x:v>
      </x:c>
      <x:c r="K9" s="52" t="n">
        <x:v>30.434782608695656</x:v>
      </x:c>
      <x:c r="L9" s="52" t="n">
        <x:v>13.043478260869565</x:v>
      </x:c>
      <x:c r="M9" s="52" t="n">
        <x:v>10.144927536231885</x:v>
      </x:c>
      <x:c r="N9" s="52" t="n">
        <x:v>27</x:v>
      </x:c>
      <x:c r="O9" s="52" t="n">
        <x:f>J9-K9</x:f>
        <x:v>10.144927536231883</x:v>
      </x:c>
      <x:c r="P9" s="48" t="b">
        <x:v>1</x:v>
      </x:c>
      <x:c r="Q9" s="18" t="n">
        <x:f>'Read Me'!$B$4-(C9+D9)/2</x:f>
        <x:v>73.5</x:v>
      </x:c>
      <x:c r="R9" s="55" t="n">
        <x:f>IF(P9=TRUE,POWER(0.5,Q9/'Model Audit'!$B$5),0)</x:f>
        <x:v>0.5677522145354387</x:v>
      </x:c>
      <x:c r="S9" s="55" t="n">
        <x:f>IF(R9=0,0,R9/SUM($R$5:$R$10))</x:f>
        <x:v>0.2969543403094632</x:v>
      </x:c>
      <x:c r="T9" s="18" t="str">
        <x:v>A (derived normalization)</x:v>
      </x:c>
      <x:c r="U9" s="18" t="str">
        <x:v>https://narrativeresearch.ca/low-provincial-government-satisfaction-levels-reflected-in-voter-intentions-across-atlantic-canada/</x:v>
      </x:c>
      <x:c r="V9" s="18" t="str">
        <x:f>TEXT(E9,"yyyy-mm")</x:f>
        <x:v>2026-06</x:v>
      </x:c>
      <x:c r="W9" s="18" t="n">
        <x:v>342</x:v>
      </x:c>
      <x:c r="X9" s="18" t="str">
        <x:v>Approximate effective party-response base, derived as 69% of n=495 from rounded all-eligible values; not pollster-reported.</x:v>
      </x:c>
    </x:row>
    <x:row r="10">
      <x:c r="A10" s="19" t="str">
        <x:v>holt-2026-08-abacus</x:v>
      </x:c>
      <x:c r="B10" s="19" t="str">
        <x:v>Abacus Data</x:v>
      </x:c>
      <x:c r="C10" s="50" t="n">
        <x:v>46232.416666666664</x:v>
      </x:c>
      <x:c r="D10" s="50" t="n">
        <x:v>46241.416666666664</x:v>
      </x:c>
      <x:c r="E10" s="50" t="n">
        <x:v>46237.416666666664</x:v>
      </x:c>
      <x:c r="F10" s="19" t="n">
        <x:v>601</x:v>
      </x:c>
      <x:c r="G10" s="19"/>
      <x:c r="H10" s="19" t="str">
        <x:v>Online PureSpectrum partner panels</x:v>
      </x:c>
      <x:c r="I10" s="19" t="str">
        <x:v>Decided voters</x:v>
      </x:c>
      <x:c r="J10" s="53" t="n">
        <x:v>45</x:v>
      </x:c>
      <x:c r="K10" s="53" t="n">
        <x:v>31</x:v>
      </x:c>
      <x:c r="L10" s="53" t="n">
        <x:v>14</x:v>
      </x:c>
      <x:c r="M10" s="53" t="n">
        <x:v>5</x:v>
      </x:c>
      <x:c r="N10" s="53"/>
      <x:c r="O10" s="53" t="n">
        <x:f>J10-K10</x:f>
        <x:v>14</x:v>
      </x:c>
      <x:c r="P10" s="49" t="b">
        <x:v>1</x:v>
      </x:c>
      <x:c r="Q10" s="19" t="n">
        <x:f>'Read Me'!$B$4-(C10+D10)/2</x:f>
        <x:v>23.5</x:v>
      </x:c>
      <x:c r="R10" s="56" t="n">
        <x:f>IF(P10=TRUE,POWER(0.5,Q10/'Model Audit'!$B$5),0)</x:f>
        <x:v>0.8344450127685898</x:v>
      </x:c>
      <x:c r="S10" s="56" t="n">
        <x:f>IF(R10=0,0,R10/SUM($R$5:$R$10))</x:f>
        <x:v>0.43644403658376435</x:v>
      </x:c>
      <x:c r="T10" s="19" t="str">
        <x:v>A-</x:v>
      </x:c>
      <x:c r="U10" s="19" t="str">
        <x:v>https://abacusdata.ca/holts-liberals-maintain-strong-lead-as-pcs-search-for-new-leader/</x:v>
      </x:c>
      <x:c r="V10" s="18" t="str">
        <x:f>TEXT(E10,"yyyy-mm")</x:f>
        <x:v>2026-08</x:v>
      </x:c>
      <x:c r="W10" s="19" t="n">
        <x:v>601</x:v>
      </x:c>
      <x:c r="X10" s="19" t="str">
        <x:v>Total sample used because the public release does not disclose the decided base; this is an optimistic information assumption for a diagnostic only.</x:v>
      </x:c>
    </x:row>
    <x:row r="11">
      <x:c r="A11" s="162"/>
      <x:c r="B11" s="162"/>
      <x:c r="C11" s="162"/>
      <x:c r="D11" s="162"/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</x:row>
    <x:row r="12">
      <x:c r="A12" s="162"/>
      <x:c r="B12" s="162"/>
      <x:c r="C12" s="162"/>
      <x:c r="D12" s="162"/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2"/>
      <x:c r="T12" s="162"/>
      <x:c r="U12" s="162"/>
      <x:c r="V12" s="162"/>
      <x:c r="W12" s="162"/>
      <x:c r="X12" s="162"/>
    </x:row>
    <x:row r="13">
      <x:c r="A13" s="162"/>
      <x:c r="B13" s="162"/>
      <x:c r="C13" s="162"/>
      <x:c r="D13" s="162"/>
      <x:c r="E13" s="162"/>
      <x:c r="F13" s="162"/>
      <x:c r="G13" s="162"/>
      <x:c r="H13" s="162"/>
      <x:c r="I13" s="162"/>
      <x:c r="J13" s="162"/>
      <x:c r="K13" s="162"/>
      <x:c r="L13" s="181" t="str">
        <x:v>Chart values retain each poll's published or explicitly derived decided basis. The Narrative row is an approximation from rounded all-eligible values. The chart is descriptive and does not interpolate between polls.</x:v>
      </x:c>
      <x:c r="M13" s="182" t="str">
        <x:v>Chart values retain each poll's published or explicitly derived decided basis. The Narrative row is an approximation from rounded all-eligible values. The chart is descriptive and does not interpolate between polls.</x:v>
      </x:c>
      <x:c r="N13" s="182" t="str">
        <x:v>Chart values retain each poll's published or explicitly derived decided basis. The Narrative row is an approximation from rounded all-eligible values. The chart is descriptive and does not interpolate between polls.</x:v>
      </x:c>
      <x:c r="O13" s="182" t="str">
        <x:v>Chart values retain each poll's published or explicitly derived decided basis. The Narrative row is an approximation from rounded all-eligible values. The chart is descriptive and does not interpolate between polls.</x:v>
      </x:c>
      <x:c r="P13" s="182" t="str">
        <x:v>Chart values retain each poll's published or explicitly derived decided basis. The Narrative row is an approximation from rounded all-eligible values. The chart is descriptive and does not interpolate between polls.</x:v>
      </x:c>
      <x:c r="Q13" s="182" t="str">
        <x:v>Chart values retain each poll's published or explicitly derived decided basis. The Narrative row is an approximation from rounded all-eligible values. The chart is descriptive and does not interpolate between polls.</x:v>
      </x:c>
      <x:c r="R13" s="182" t="str">
        <x:v>Chart values retain each poll's published or explicitly derived decided basis. The Narrative row is an approximation from rounded all-eligible values. The chart is descriptive and does not interpolate between polls.</x:v>
      </x:c>
      <x:c r="S13" s="182" t="str">
        <x:v>Chart values retain each poll's published or explicitly derived decided basis. The Narrative row is an approximation from rounded all-eligible values. The chart is descriptive and does not interpolate between polls.</x:v>
      </x:c>
      <x:c r="T13" s="182" t="str">
        <x:v>Chart values retain each poll's published or explicitly derived decided basis. The Narrative row is an approximation from rounded all-eligible values. The chart is descriptive and does not interpolate between polls.</x:v>
      </x:c>
      <x:c r="U13" s="183" t="str">
        <x:v>Chart values retain each poll's published or explicitly derived decided basis. The Narrative row is an approximation from rounded all-eligible values. The chart is descriptive and does not interpolate between polls.</x:v>
      </x:c>
      <x:c r="V13" s="162"/>
      <x:c r="W13" s="162"/>
      <x:c r="X13" s="162"/>
    </x:row>
    <x:row r="14">
      <x:c r="A14" s="162"/>
      <x:c r="B14" s="162"/>
      <x:c r="C14" s="162"/>
      <x:c r="D14" s="162"/>
      <x:c r="E14" s="162"/>
      <x:c r="F14" s="162"/>
      <x:c r="G14" s="162"/>
      <x:c r="H14" s="162"/>
      <x:c r="I14" s="162"/>
      <x:c r="J14" s="162"/>
      <x:c r="K14" s="162"/>
      <x:c r="L14" s="184" t="str">
        <x:v>Chart values retain each poll's published or explicitly derived decided basis. The Narrative row is an approximation from rounded all-eligible values. The chart is descriptive and does not interpolate between polls.</x:v>
      </x:c>
      <x:c r="M14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N14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O14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P14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Q14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R14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S14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T14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U14" s="186" t="str">
        <x:v>Chart values retain each poll's published or explicitly derived decided basis. The Narrative row is an approximation from rounded all-eligible values. The chart is descriptive and does not interpolate between polls.</x:v>
      </x:c>
      <x:c r="V14" s="162"/>
      <x:c r="W14" s="162"/>
      <x:c r="X14" s="162"/>
    </x:row>
    <x:row r="15">
      <x:c r="A15" s="162"/>
      <x:c r="B15" s="162"/>
      <x:c r="C15" s="162"/>
      <x:c r="D15" s="162"/>
      <x:c r="E15" s="162"/>
      <x:c r="F15" s="162"/>
      <x:c r="G15" s="162"/>
      <x:c r="H15" s="162"/>
      <x:c r="I15" s="162"/>
      <x:c r="J15" s="162"/>
      <x:c r="K15" s="162"/>
      <x:c r="L15" s="184" t="str">
        <x:v>Chart values retain each poll's published or explicitly derived decided basis. The Narrative row is an approximation from rounded all-eligible values. The chart is descriptive and does not interpolate between polls.</x:v>
      </x:c>
      <x:c r="M15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N15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O15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P15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Q15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R15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S15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T15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U15" s="186" t="str">
        <x:v>Chart values retain each poll's published or explicitly derived decided basis. The Narrative row is an approximation from rounded all-eligible values. The chart is descriptive and does not interpolate between polls.</x:v>
      </x:c>
      <x:c r="V15" s="162"/>
      <x:c r="W15" s="162"/>
      <x:c r="X15" s="162"/>
    </x:row>
    <x:row r="16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84" t="str">
        <x:v>Chart values retain each poll's published or explicitly derived decided basis. The Narrative row is an approximation from rounded all-eligible values. The chart is descriptive and does not interpolate between polls.</x:v>
      </x:c>
      <x:c r="M16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N16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O16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P16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Q16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R16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S16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T16" s="185" t="str">
        <x:v>Chart values retain each poll's published or explicitly derived decided basis. The Narrative row is an approximation from rounded all-eligible values. The chart is descriptive and does not interpolate between polls.</x:v>
      </x:c>
      <x:c r="U16" s="186" t="str">
        <x:v>Chart values retain each poll's published or explicitly derived decided basis. The Narrative row is an approximation from rounded all-eligible values. The chart is descriptive and does not interpolate between polls.</x:v>
      </x:c>
      <x:c r="V16" s="162"/>
      <x:c r="W16" s="162"/>
      <x:c r="X16" s="162"/>
    </x:row>
    <x:row r="17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87" t="str">
        <x:v>Chart values retain each poll's published or explicitly derived decided basis. The Narrative row is an approximation from rounded all-eligible values. The chart is descriptive and does not interpolate between polls.</x:v>
      </x:c>
      <x:c r="M17" s="188" t="str">
        <x:v>Chart values retain each poll's published or explicitly derived decided basis. The Narrative row is an approximation from rounded all-eligible values. The chart is descriptive and does not interpolate between polls.</x:v>
      </x:c>
      <x:c r="N17" s="188" t="str">
        <x:v>Chart values retain each poll's published or explicitly derived decided basis. The Narrative row is an approximation from rounded all-eligible values. The chart is descriptive and does not interpolate between polls.</x:v>
      </x:c>
      <x:c r="O17" s="188" t="str">
        <x:v>Chart values retain each poll's published or explicitly derived decided basis. The Narrative row is an approximation from rounded all-eligible values. The chart is descriptive and does not interpolate between polls.</x:v>
      </x:c>
      <x:c r="P17" s="188" t="str">
        <x:v>Chart values retain each poll's published or explicitly derived decided basis. The Narrative row is an approximation from rounded all-eligible values. The chart is descriptive and does not interpolate between polls.</x:v>
      </x:c>
      <x:c r="Q17" s="188" t="str">
        <x:v>Chart values retain each poll's published or explicitly derived decided basis. The Narrative row is an approximation from rounded all-eligible values. The chart is descriptive and does not interpolate between polls.</x:v>
      </x:c>
      <x:c r="R17" s="188" t="str">
        <x:v>Chart values retain each poll's published or explicitly derived decided basis. The Narrative row is an approximation from rounded all-eligible values. The chart is descriptive and does not interpolate between polls.</x:v>
      </x:c>
      <x:c r="S17" s="188" t="str">
        <x:v>Chart values retain each poll's published or explicitly derived decided basis. The Narrative row is an approximation from rounded all-eligible values. The chart is descriptive and does not interpolate between polls.</x:v>
      </x:c>
      <x:c r="T17" s="188" t="str">
        <x:v>Chart values retain each poll's published or explicitly derived decided basis. The Narrative row is an approximation from rounded all-eligible values. The chart is descriptive and does not interpolate between polls.</x:v>
      </x:c>
      <x:c r="U17" s="189" t="str">
        <x:v>Chart values retain each poll's published or explicitly derived decided basis. The Narrative row is an approximation from rounded all-eligible values. The chart is descriptive and does not interpolate between polls.</x:v>
      </x:c>
      <x:c r="V17" s="162"/>
      <x:c r="W17" s="162"/>
      <x:c r="X17" s="162"/>
    </x:row>
  </x:sheetData>
  <x:mergeCells>
    <x:mergeCell ref="A1:X1"/>
    <x:mergeCell ref="A2:X2"/>
    <x:mergeCell ref="L13:U17"/>
  </x:mergeCells>
  <x:conditionalFormatting sqref="P5:P10">
    <x:cfRule type="cellIs" dxfId="0" priority="1" operator="equal">
      <x:formula>TRUE</x:formula>
    </x:cfRule>
  </x:conditionalFormatting>
  <x:pageMargins left="0.7" right="0.7" top="0.75" bottom="0.75" header="0.3" footer="0.3"/>
  <x:drawing xmlns:r="http://schemas.openxmlformats.org/officeDocument/2006/relationships" r:id="R40e8eb02148f422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55" hidden="0" customWidth="1"/>
    <x:col min="10" max="10" width="55" hidden="0" customWidth="1"/>
    <x:col min="11" max="11" width="12" hidden="0" customWidth="1"/>
  </x:cols>
  <x:sheetData>
    <x:row r="1" ht="30" customHeight="1">
      <x:c r="A1" s="4" t="str">
        <x:v>Current government and leader indicators</x:v>
      </x:c>
      <x:c r="B1" s="4" t="str">
        <x:v>Current government and leader indicators</x:v>
      </x:c>
      <x:c r="C1" s="4" t="str">
        <x:v>Current government and leader indicators</x:v>
      </x:c>
      <x:c r="D1" s="4" t="str">
        <x:v>Current government and leader indicators</x:v>
      </x:c>
      <x:c r="E1" s="4" t="str">
        <x:v>Current government and leader indicators</x:v>
      </x:c>
      <x:c r="F1" s="4" t="str">
        <x:v>Current government and leader indicators</x:v>
      </x:c>
      <x:c r="G1" s="4" t="str">
        <x:v>Current government and leader indicators</x:v>
      </x:c>
      <x:c r="H1" s="4" t="str">
        <x:v>Current government and leader indicators</x:v>
      </x:c>
      <x:c r="I1" s="4" t="str">
        <x:v>Current government and leader indicators</x:v>
      </x:c>
      <x:c r="J1" s="4" t="str">
        <x:v>Current government and leader indicators</x:v>
      </x:c>
      <x:c r="K1" s="162"/>
    </x:row>
    <x:row r="2" ht="25" customHeight="1">
      <x:c r="A2" s="161" t="str">
        <x:v>Separate series by question. Values are not pooled across satisfaction, approval, favourability or direction measures.</x:v>
      </x:c>
      <x:c r="B2" s="161" t="str">
        <x:v>Separate series by question. Values are not pooled across satisfaction, approval, favourability or direction measures.</x:v>
      </x:c>
      <x:c r="C2" s="161" t="str">
        <x:v>Separate series by question. Values are not pooled across satisfaction, approval, favourability or direction measures.</x:v>
      </x:c>
      <x:c r="D2" s="161" t="str">
        <x:v>Separate series by question. Values are not pooled across satisfaction, approval, favourability or direction measures.</x:v>
      </x:c>
      <x:c r="E2" s="161" t="str">
        <x:v>Separate series by question. Values are not pooled across satisfaction, approval, favourability or direction measures.</x:v>
      </x:c>
      <x:c r="F2" s="161" t="str">
        <x:v>Separate series by question. Values are not pooled across satisfaction, approval, favourability or direction measures.</x:v>
      </x:c>
      <x:c r="G2" s="161" t="str">
        <x:v>Separate series by question. Values are not pooled across satisfaction, approval, favourability or direction measures.</x:v>
      </x:c>
      <x:c r="H2" s="161" t="str">
        <x:v>Separate series by question. Values are not pooled across satisfaction, approval, favourability or direction measures.</x:v>
      </x:c>
      <x:c r="I2" s="161" t="str">
        <x:v>Separate series by question. Values are not pooled across satisfaction, approval, favourability or direction measures.</x:v>
      </x:c>
      <x:c r="J2" s="161" t="str">
        <x:v>Separate series by question. Values are not pooled across satisfaction, approval, favourability or direction measures.</x:v>
      </x:c>
      <x:c r="K2" s="162"/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</x:row>
    <x:row r="4" ht="30" customHeight="1">
      <x:c r="A4" s="39" t="str">
        <x:v>Midpoint</x:v>
      </x:c>
      <x:c r="B4" s="40" t="str">
        <x:v>Measure</x:v>
      </x:c>
      <x:c r="C4" s="40" t="str">
        <x:v>Pollster</x:v>
      </x:c>
      <x:c r="D4" s="40" t="str">
        <x:v>n</x:v>
      </x:c>
      <x:c r="E4" s="40" t="str">
        <x:v>Positive</x:v>
      </x:c>
      <x:c r="F4" s="40" t="str">
        <x:v>Negative</x:v>
      </x:c>
      <x:c r="G4" s="40" t="str">
        <x:v>Residual</x:v>
      </x:c>
      <x:c r="H4" s="40" t="str">
        <x:v>Net</x:v>
      </x:c>
      <x:c r="I4" s="40" t="str">
        <x:v>Source URL</x:v>
      </x:c>
      <x:c r="J4" s="41" t="str">
        <x:v>Notes</x:v>
      </x:c>
      <x:c r="K4" s="77" t="str">
        <x:v>Chart label</x:v>
      </x:c>
    </x:row>
    <x:row r="5">
      <x:c r="A5" s="20" t="n">
        <x:v>45628.458333333336</x:v>
      </x:c>
      <x:c r="B5" s="17" t="str">
        <x:v>Premier approval</x:v>
      </x:c>
      <x:c r="C5" s="17" t="str">
        <x:v>Angus Reid Institute</x:v>
      </x:c>
      <x:c r="D5" s="17" t="n">
        <x:v>277</x:v>
      </x:c>
      <x:c r="E5" s="51" t="n">
        <x:v>53</x:v>
      </x:c>
      <x:c r="F5" s="51" t="n">
        <x:v>28</x:v>
      </x:c>
      <x:c r="G5" s="51" t="n">
        <x:v>18</x:v>
      </x:c>
      <x:c r="H5" s="51" t="n">
        <x:v>25</x:v>
      </x:c>
      <x:c r="I5" s="17" t="str">
        <x:v>https://angusreid.org/premiers-performance-approval-moe-houston-kinew-ford-eby-smith-legault-holt-furey/</x:v>
      </x:c>
      <x:c r="J5" s="17" t="str">
        <x:v>Online Forum; small NB subsample. Do not merge with government satisfaction or favourability.</x:v>
      </x:c>
      <x:c r="K5" s="17" t="str">
        <x:f>TEXT(A5,"yyyy-mm")</x:f>
        <x:v>2024-12</x:v>
      </x:c>
    </x:row>
    <x:row r="6">
      <x:c r="A6" s="21" t="n">
        <x:v>45730.458333333336</x:v>
      </x:c>
      <x:c r="B6" s="18" t="str">
        <x:v>Premier approval</x:v>
      </x:c>
      <x:c r="C6" s="18" t="str">
        <x:v>Angus Reid Institute</x:v>
      </x:c>
      <x:c r="D6" s="18" t="n">
        <x:v>248</x:v>
      </x:c>
      <x:c r="E6" s="52" t="n">
        <x:v>60</x:v>
      </x:c>
      <x:c r="F6" s="52" t="n">
        <x:v>28</x:v>
      </x:c>
      <x:c r="G6" s="52" t="n">
        <x:v>12</x:v>
      </x:c>
      <x:c r="H6" s="52" t="n">
        <x:v>32</x:v>
      </x:c>
      <x:c r="I6" s="18" t="str">
        <x:v>https://angusreid.org/premier-approval-ratings-march-2025-ford-eby-smith-legault/</x:v>
      </x:c>
      <x:c r="J6" s="18" t="str">
        <x:v>Online Forum; small NB subsample. Do not merge with government satisfaction or favourability.</x:v>
      </x:c>
      <x:c r="K6" s="18" t="str">
        <x:f>TEXT(A6,"yyyy-mm")</x:f>
        <x:v>2025-03</x:v>
      </x:c>
    </x:row>
    <x:row r="7">
      <x:c r="A7" s="21" t="n">
        <x:v>45813.416666666664</x:v>
      </x:c>
      <x:c r="B7" s="18" t="str">
        <x:v>Premier approval</x:v>
      </x:c>
      <x:c r="C7" s="18" t="str">
        <x:v>Angus Reid Institute</x:v>
      </x:c>
      <x:c r="D7" s="18" t="n">
        <x:v>257</x:v>
      </x:c>
      <x:c r="E7" s="52" t="n">
        <x:v>58</x:v>
      </x:c>
      <x:c r="F7" s="52" t="n">
        <x:v>33</x:v>
      </x:c>
      <x:c r="G7" s="52" t="n">
        <x:v>9</x:v>
      </x:c>
      <x:c r="H7" s="52" t="n">
        <x:v>25</x:v>
      </x:c>
      <x:c r="I7" s="18" t="str">
        <x:v>https://angusreid.org/june-2025-premiers-approval-rankings/</x:v>
      </x:c>
      <x:c r="J7" s="18" t="str">
        <x:v>Online Forum; small NB subsample. Do not merge with government satisfaction or favourability.</x:v>
      </x:c>
      <x:c r="K7" s="18" t="str">
        <x:f>TEXT(A7,"yyyy-mm")</x:f>
        <x:v>2025-06</x:v>
      </x:c>
    </x:row>
    <x:row r="8">
      <x:c r="A8" s="21" t="n">
        <x:v>45901.416666666664</x:v>
      </x:c>
      <x:c r="B8" s="18" t="str">
        <x:v>Premier approval</x:v>
      </x:c>
      <x:c r="C8" s="18" t="str">
        <x:v>Angus Reid Institute</x:v>
      </x:c>
      <x:c r="D8" s="18" t="n">
        <x:v>259</x:v>
      </x:c>
      <x:c r="E8" s="52" t="n">
        <x:v>52</x:v>
      </x:c>
      <x:c r="F8" s="52" t="n">
        <x:v>38</x:v>
      </x:c>
      <x:c r="G8" s="52" t="n">
        <x:v>9</x:v>
      </x:c>
      <x:c r="H8" s="52" t="n">
        <x:v>14</x:v>
      </x:c>
      <x:c r="I8" s="18" t="str">
        <x:v>https://angusreid.org/premiers-approval-sept-2025-ford-legault-eby-smith-moe-kinew/</x:v>
      </x:c>
      <x:c r="J8" s="18" t="str">
        <x:v>Online Forum; small NB subsample. Do not merge with government satisfaction or favourability.</x:v>
      </x:c>
      <x:c r="K8" s="18" t="str">
        <x:f>TEXT(A8,"yyyy-mm")</x:f>
        <x:v>2025-09</x:v>
      </x:c>
    </x:row>
    <x:row r="9">
      <x:c r="A9" s="21" t="n">
        <x:v>45989.458333333336</x:v>
      </x:c>
      <x:c r="B9" s="18" t="str">
        <x:v>Premier approval</x:v>
      </x:c>
      <x:c r="C9" s="18" t="str">
        <x:v>Angus Reid Institute</x:v>
      </x:c>
      <x:c r="D9" s="18" t="n">
        <x:v>231</x:v>
      </x:c>
      <x:c r="E9" s="52" t="n">
        <x:v>56</x:v>
      </x:c>
      <x:c r="F9" s="52" t="n">
        <x:v>35</x:v>
      </x:c>
      <x:c r="G9" s="52" t="n">
        <x:v>9</x:v>
      </x:c>
      <x:c r="H9" s="52" t="n">
        <x:v>21</x:v>
      </x:c>
      <x:c r="I9" s="18" t="str">
        <x:v>https://angusreid.org/premiers-performance-december-2025-approval-ratings-reflect-a-divided-country/</x:v>
      </x:c>
      <x:c r="J9" s="18" t="str">
        <x:v>Online Forum; small NB subsample. Do not merge with government satisfaction or favourability.</x:v>
      </x:c>
      <x:c r="K9" s="18" t="str">
        <x:f>TEXT(A9,"yyyy-mm")</x:f>
        <x:v>2025-11</x:v>
      </x:c>
    </x:row>
    <x:row r="10">
      <x:c r="A10" s="21" t="n">
        <x:v>46095.458333333336</x:v>
      </x:c>
      <x:c r="B10" s="18" t="str">
        <x:v>Premier approval</x:v>
      </x:c>
      <x:c r="C10" s="18" t="str">
        <x:v>Angus Reid Institute</x:v>
      </x:c>
      <x:c r="D10" s="18" t="n">
        <x:v>248</x:v>
      </x:c>
      <x:c r="E10" s="52" t="n">
        <x:v>54</x:v>
      </x:c>
      <x:c r="F10" s="52" t="n">
        <x:v>40</x:v>
      </x:c>
      <x:c r="G10" s="52" t="n">
        <x:v>5</x:v>
      </x:c>
      <x:c r="H10" s="52" t="n">
        <x:v>14</x:v>
      </x:c>
      <x:c r="I10" s="18" t="str">
        <x:v>https://angusreid.org/premiers-performance-march-2026/</x:v>
      </x:c>
      <x:c r="J10" s="18" t="str">
        <x:v>Online Forum; small NB subsample. Do not merge with government satisfaction or favourability.</x:v>
      </x:c>
      <x:c r="K10" s="18" t="str">
        <x:f>TEXT(A10,"yyyy-mm")</x:f>
        <x:v>2026-03</x:v>
      </x:c>
    </x:row>
    <x:row r="11">
      <x:c r="A11" s="21" t="n">
        <x:v>46182.416666666664</x:v>
      </x:c>
      <x:c r="B11" s="18" t="str">
        <x:v>Premier approval</x:v>
      </x:c>
      <x:c r="C11" s="18" t="str">
        <x:v>Angus Reid Institute</x:v>
      </x:c>
      <x:c r="D11" s="18" t="n">
        <x:v>243</x:v>
      </x:c>
      <x:c r="E11" s="52" t="n">
        <x:v>41</x:v>
      </x:c>
      <x:c r="F11" s="52" t="n">
        <x:v>49</x:v>
      </x:c>
      <x:c r="G11" s="52" t="n">
        <x:v>10</x:v>
      </x:c>
      <x:c r="H11" s="52" t="n">
        <x:v>-8</x:v>
      </x:c>
      <x:c r="I11" s="18" t="str">
        <x:v>https://angusreid.org/premiers-performance-june-2026/</x:v>
      </x:c>
      <x:c r="J11" s="18" t="str">
        <x:v>Online Forum; small NB subsample. Do not merge with government satisfaction or favourability.</x:v>
      </x:c>
      <x:c r="K11" s="19" t="str">
        <x:f>TEXT(A11,"yyyy-mm")</x:f>
        <x:v>2026-06</x:v>
      </x:c>
    </x:row>
    <x:row r="12">
      <x:c r="A12" s="21" t="n">
        <x:v>45791.416666666664</x:v>
      </x:c>
      <x:c r="B12" s="18" t="str">
        <x:v>Government satisfaction</x:v>
      </x:c>
      <x:c r="C12" s="18" t="str">
        <x:v>Narrative Research</x:v>
      </x:c>
      <x:c r="D12" s="18" t="n">
        <x:v>400</x:v>
      </x:c>
      <x:c r="E12" s="52" t="n">
        <x:v>59</x:v>
      </x:c>
      <x:c r="F12" s="52" t="n">
        <x:v>29</x:v>
      </x:c>
      <x:c r="G12" s="52" t="n">
        <x:v>12</x:v>
      </x:c>
      <x:c r="H12" s="52" t="n">
        <x:v>30</x:v>
      </x:c>
      <x:c r="I12" s="18" t="str">
        <x:v>https://narrativeresearch.ca/across-the-region-most-atlantic-canadians-are-satisfied-with-their-provincial-governments-performance/</x:v>
      </x:c>
      <x:c r="J12" s="18" t="str">
        <x:v>Telephone probability sample; residual combines neither and don't know.</x:v>
      </x:c>
      <x:c r="K12" s="162"/>
    </x:row>
    <x:row r="13">
      <x:c r="A13" s="21" t="n">
        <x:v>45887.416666666664</x:v>
      </x:c>
      <x:c r="B13" s="18" t="str">
        <x:v>Government satisfaction</x:v>
      </x:c>
      <x:c r="C13" s="18" t="str">
        <x:v>Narrative Research</x:v>
      </x:c>
      <x:c r="D13" s="18" t="n">
        <x:v>400</x:v>
      </x:c>
      <x:c r="E13" s="52" t="n">
        <x:v>63</x:v>
      </x:c>
      <x:c r="F13" s="52" t="n">
        <x:v>30</x:v>
      </x:c>
      <x:c r="G13" s="52" t="n">
        <x:v>7</x:v>
      </x:c>
      <x:c r="H13" s="52" t="n">
        <x:v>33</x:v>
      </x:c>
      <x:c r="I13" s="18" t="str">
        <x:v>https://narrativeresearch.ca/atlantic-canadians-are-largely-satisfied-with-the-performance-of-both-their-provincial-and-federal-governments/</x:v>
      </x:c>
      <x:c r="J13" s="18" t="str">
        <x:v>Telephone probability sample.</x:v>
      </x:c>
      <x:c r="K13" s="162"/>
    </x:row>
    <x:row r="14">
      <x:c r="A14" s="21" t="n">
        <x:v>46186.416666666664</x:v>
      </x:c>
      <x:c r="B14" s="18" t="str">
        <x:v>Government satisfaction</x:v>
      </x:c>
      <x:c r="C14" s="18" t="str">
        <x:v>Narrative Research</x:v>
      </x:c>
      <x:c r="D14" s="18" t="n">
        <x:v>495</x:v>
      </x:c>
      <x:c r="E14" s="52" t="n">
        <x:v>35</x:v>
      </x:c>
      <x:c r="F14" s="52" t="n">
        <x:v>37</x:v>
      </x:c>
      <x:c r="G14" s="52" t="n">
        <x:v>28</x:v>
      </x:c>
      <x:c r="H14" s="52" t="n">
        <x:v>-2</x:v>
      </x:c>
      <x:c r="I14" s="18" t="str">
        <x:v>https://narrativeresearch.ca/low-provincial-government-satisfaction-levels-reflected-in-voter-intentions-across-atlantic-canada/</x:v>
      </x:c>
      <x:c r="J14" s="18" t="str">
        <x:v>Online panel.</x:v>
      </x:c>
      <x:c r="K14" s="162"/>
    </x:row>
    <x:row r="15">
      <x:c r="A15" s="21" t="n">
        <x:v>46237.416666666664</x:v>
      </x:c>
      <x:c r="B15" s="18" t="str">
        <x:v>Government handling approval</x:v>
      </x:c>
      <x:c r="C15" s="18" t="str">
        <x:v>Abacus Data</x:v>
      </x:c>
      <x:c r="D15" s="18" t="n">
        <x:v>601</x:v>
      </x:c>
      <x:c r="E15" s="52" t="n">
        <x:v>32</x:v>
      </x:c>
      <x:c r="F15" s="52" t="n">
        <x:v>37</x:v>
      </x:c>
      <x:c r="G15" s="52" t="n">
        <x:v>31</x:v>
      </x:c>
      <x:c r="H15" s="52" t="n">
        <x:v>-5</x:v>
      </x:c>
      <x:c r="I15" s="18" t="str">
        <x:v>https://abacusdata.ca/holts-liberals-maintain-strong-lead-as-pcs-search-for-new-leader/</x:v>
      </x:c>
      <x:c r="J15" s="18" t="str">
        <x:v>Distinct wording from Narrative government satisfaction.</x:v>
      </x:c>
      <x:c r="K15" s="162"/>
    </x:row>
    <x:row r="16">
      <x:c r="A16" s="21" t="n">
        <x:v>46237.416666666664</x:v>
      </x:c>
      <x:c r="B16" s="18" t="str">
        <x:v>Holt favourability</x:v>
      </x:c>
      <x:c r="C16" s="18" t="str">
        <x:v>Abacus Data</x:v>
      </x:c>
      <x:c r="D16" s="18" t="n">
        <x:v>601</x:v>
      </x:c>
      <x:c r="E16" s="52" t="n">
        <x:v>35</x:v>
      </x:c>
      <x:c r="F16" s="52" t="n">
        <x:v>32</x:v>
      </x:c>
      <x:c r="G16" s="52" t="n">
        <x:v>33</x:v>
      </x:c>
      <x:c r="H16" s="52" t="n">
        <x:v>3</x:v>
      </x:c>
      <x:c r="I16" s="18" t="str">
        <x:v>https://abacusdata.ca/holts-liberals-maintain-strong-lead-as-pcs-search-for-new-leader/</x:v>
      </x:c>
      <x:c r="J16" s="18" t="str">
        <x:v>Leader favourability, not approval.</x:v>
      </x:c>
      <x:c r="K16" s="162"/>
    </x:row>
    <x:row r="17">
      <x:c r="A17" s="50" t="n">
        <x:v>46237.416666666664</x:v>
      </x:c>
      <x:c r="B17" s="19" t="str">
        <x:v>Right direction</x:v>
      </x:c>
      <x:c r="C17" s="19" t="str">
        <x:v>Abacus Data</x:v>
      </x:c>
      <x:c r="D17" s="19" t="n">
        <x:v>601</x:v>
      </x:c>
      <x:c r="E17" s="53" t="n">
        <x:v>34</x:v>
      </x:c>
      <x:c r="F17" s="53" t="n">
        <x:v>45</x:v>
      </x:c>
      <x:c r="G17" s="53" t="n">
        <x:v>21</x:v>
      </x:c>
      <x:c r="H17" s="53" t="n">
        <x:v>-11</x:v>
      </x:c>
      <x:c r="I17" s="19" t="str">
        <x:v>https://abacusdata.ca/holts-liberals-maintain-strong-lead-as-pcs-search-for-new-leader/</x:v>
      </x:c>
      <x:c r="J17" s="19" t="str">
        <x:v>Direction-of-province measure.</x:v>
      </x:c>
      <x:c r="K17" s="162"/>
    </x:row>
    <x:row r="18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</x:row>
    <x:row r="19">
      <x:c r="A19" s="162"/>
      <x:c r="B19" s="162"/>
      <x:c r="C19" s="162"/>
      <x:c r="D19" s="162"/>
      <x:c r="E19" s="162"/>
      <x:c r="F19" s="162"/>
      <x:c r="G19" s="162"/>
      <x:c r="H19" s="162"/>
      <x:c r="I19" s="162"/>
      <x:c r="J19" s="162"/>
      <x:c r="K19" s="162"/>
    </x:row>
    <x:row r="20">
      <x:c r="A20" s="162"/>
      <x:c r="B20" s="162"/>
      <x:c r="C20" s="162"/>
      <x:c r="D20" s="162"/>
      <x:c r="E20" s="162"/>
      <x:c r="F20" s="162"/>
      <x:c r="G20" s="162"/>
      <x:c r="H20" s="162"/>
      <x:c r="I20" s="181" t="str">
        <x:v>The line chart includes only the seven Angus Reid premier-approval waves in rows 5-11. Government satisfaction and Abacus favourability remain in the table and are deliberately excluded from that series.</x:v>
      </x:c>
      <x:c r="J20" s="183" t="str">
        <x:v>The line chart includes only the seven Angus Reid premier-approval waves in rows 5-11. Government satisfaction and Abacus favourability remain in the table and are deliberately excluded from that series.</x:v>
      </x:c>
      <x:c r="K20" s="162"/>
    </x:row>
    <x:row r="21">
      <x:c r="A21" s="162"/>
      <x:c r="B21" s="162"/>
      <x:c r="C21" s="162"/>
      <x:c r="D21" s="162"/>
      <x:c r="E21" s="162"/>
      <x:c r="F21" s="162"/>
      <x:c r="G21" s="162"/>
      <x:c r="H21" s="162"/>
      <x:c r="I21" s="184" t="str">
        <x:v>The line chart includes only the seven Angus Reid premier-approval waves in rows 5-11. Government satisfaction and Abacus favourability remain in the table and are deliberately excluded from that series.</x:v>
      </x:c>
      <x:c r="J21" s="186" t="str">
        <x:v>The line chart includes only the seven Angus Reid premier-approval waves in rows 5-11. Government satisfaction and Abacus favourability remain in the table and are deliberately excluded from that series.</x:v>
      </x:c>
      <x:c r="K21" s="162"/>
    </x:row>
    <x:row r="22">
      <x:c r="A22" s="162"/>
      <x:c r="B22" s="162"/>
      <x:c r="C22" s="162"/>
      <x:c r="D22" s="162"/>
      <x:c r="E22" s="162"/>
      <x:c r="F22" s="162"/>
      <x:c r="G22" s="162"/>
      <x:c r="H22" s="162"/>
      <x:c r="I22" s="184" t="str">
        <x:v>The line chart includes only the seven Angus Reid premier-approval waves in rows 5-11. Government satisfaction and Abacus favourability remain in the table and are deliberately excluded from that series.</x:v>
      </x:c>
      <x:c r="J22" s="186" t="str">
        <x:v>The line chart includes only the seven Angus Reid premier-approval waves in rows 5-11. Government satisfaction and Abacus favourability remain in the table and are deliberately excluded from that series.</x:v>
      </x:c>
      <x:c r="K22" s="162"/>
    </x:row>
    <x:row r="23">
      <x:c r="A23" s="162"/>
      <x:c r="B23" s="162"/>
      <x:c r="C23" s="162"/>
      <x:c r="D23" s="162"/>
      <x:c r="E23" s="162"/>
      <x:c r="F23" s="162"/>
      <x:c r="G23" s="162"/>
      <x:c r="H23" s="162"/>
      <x:c r="I23" s="184" t="str">
        <x:v>The line chart includes only the seven Angus Reid premier-approval waves in rows 5-11. Government satisfaction and Abacus favourability remain in the table and are deliberately excluded from that series.</x:v>
      </x:c>
      <x:c r="J23" s="186" t="str">
        <x:v>The line chart includes only the seven Angus Reid premier-approval waves in rows 5-11. Government satisfaction and Abacus favourability remain in the table and are deliberately excluded from that series.</x:v>
      </x:c>
      <x:c r="K23" s="162"/>
    </x:row>
    <x:row r="24">
      <x:c r="A24" s="162"/>
      <x:c r="B24" s="162"/>
      <x:c r="C24" s="162"/>
      <x:c r="D24" s="162"/>
      <x:c r="E24" s="162"/>
      <x:c r="F24" s="162"/>
      <x:c r="G24" s="162"/>
      <x:c r="H24" s="162"/>
      <x:c r="I24" s="184" t="str">
        <x:v>The line chart includes only the seven Angus Reid premier-approval waves in rows 5-11. Government satisfaction and Abacus favourability remain in the table and are deliberately excluded from that series.</x:v>
      </x:c>
      <x:c r="J24" s="186" t="str">
        <x:v>The line chart includes only the seven Angus Reid premier-approval waves in rows 5-11. Government satisfaction and Abacus favourability remain in the table and are deliberately excluded from that series.</x:v>
      </x:c>
      <x:c r="K24" s="162"/>
    </x:row>
    <x:row r="25">
      <x:c r="A25" s="162"/>
      <x:c r="B25" s="162"/>
      <x:c r="C25" s="162"/>
      <x:c r="D25" s="162"/>
      <x:c r="E25" s="162"/>
      <x:c r="F25" s="162"/>
      <x:c r="G25" s="162"/>
      <x:c r="H25" s="162"/>
      <x:c r="I25" s="184" t="str">
        <x:v>The line chart includes only the seven Angus Reid premier-approval waves in rows 5-11. Government satisfaction and Abacus favourability remain in the table and are deliberately excluded from that series.</x:v>
      </x:c>
      <x:c r="J25" s="186" t="str">
        <x:v>The line chart includes only the seven Angus Reid premier-approval waves in rows 5-11. Government satisfaction and Abacus favourability remain in the table and are deliberately excluded from that series.</x:v>
      </x:c>
      <x:c r="K25" s="162"/>
    </x:row>
    <x:row r="26">
      <x:c r="A26" s="162"/>
      <x:c r="B26" s="162"/>
      <x:c r="C26" s="162"/>
      <x:c r="D26" s="162"/>
      <x:c r="E26" s="162"/>
      <x:c r="F26" s="162"/>
      <x:c r="G26" s="162"/>
      <x:c r="H26" s="162"/>
      <x:c r="I26" s="187" t="str">
        <x:v>The line chart includes only the seven Angus Reid premier-approval waves in rows 5-11. Government satisfaction and Abacus favourability remain in the table and are deliberately excluded from that series.</x:v>
      </x:c>
      <x:c r="J26" s="189" t="str">
        <x:v>The line chart includes only the seven Angus Reid premier-approval waves in rows 5-11. Government satisfaction and Abacus favourability remain in the table and are deliberately excluded from that series.</x:v>
      </x:c>
      <x:c r="K26" s="162"/>
    </x:row>
  </x:sheetData>
  <x:mergeCells>
    <x:mergeCell ref="A1:J1"/>
    <x:mergeCell ref="A2:J2"/>
    <x:mergeCell ref="I20:J26"/>
  </x:mergeCells>
  <x:conditionalFormatting sqref="H5:H17">
    <x:cfRule type="colorScale" priority="1">
      <x:colorScale>
        <x:cfvo type="min"/>
        <x:cfvo type="percentile" val="50"/>
        <x:cfvo type="max"/>
        <x:color rgb="FF9C0006"/>
        <x:color rgb="FFFFFFFF"/>
        <x:color rgb="FF375623"/>
      </x:colorScale>
    </x:cfRule>
  </x:conditionalFormatting>
  <x:pageMargins left="0.7" right="0.7" top="0.75" bottom="0.75" header="0.3" footer="0.3"/>
  <x:drawing xmlns:r="http://schemas.openxmlformats.org/officeDocument/2006/relationships" r:id="R0219fb4ed4be436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12" hidden="0" customWidth="1"/>
    <x:col min="8" max="8" width="14" hidden="0" customWidth="1"/>
    <x:col min="9" max="9" width="10" hidden="0" customWidth="1"/>
    <x:col min="10" max="10" width="12" hidden="0" customWidth="1"/>
    <x:col min="11" max="11" width="11" hidden="0" customWidth="1"/>
    <x:col min="12" max="12" width="11" hidden="0" customWidth="1"/>
    <x:col min="13" max="13" width="10" hidden="0" customWidth="1"/>
    <x:col min="14" max="14" width="12" hidden="0" customWidth="1"/>
    <x:col min="15" max="15" width="12" hidden="0" customWidth="1"/>
    <x:col min="16" max="16" width="12" hidden="0" customWidth="1"/>
    <x:col min="17" max="17" width="14" hidden="0" customWidth="1"/>
    <x:col min="18" max="18" width="14" hidden="0" customWidth="1"/>
    <x:col min="19" max="19" width="13" hidden="0" customWidth="1"/>
    <x:col min="20" max="20" width="11" hidden="0" customWidth="1"/>
    <x:col min="21" max="21" width="13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42" hidden="0" customWidth="1"/>
    <x:col min="27" max="27" width="30" hidden="0" customWidth="1"/>
    <x:col min="28" max="28" width="58" hidden="0" customWidth="1"/>
    <x:col min="29" max="29" width="24" hidden="0" customWidth="1"/>
    <x:col min="30" max="30" width="22" hidden="0" customWidth="1"/>
    <x:col min="31" max="31" width="12" hidden="0" customWidth="1"/>
    <x:col min="32" max="32" width="28" hidden="0" customWidth="1"/>
    <x:col min="33" max="33" width="22" hidden="0" customWidth="1"/>
    <x:col min="34" max="34" width="12" hidden="0" customWidth="1"/>
  </x:cols>
  <x:sheetData>
    <x:row r="1" ht="30" customHeight="1">
      <x:c r="A1" s="4" t="str">
        <x:v>First-term historical comparison at mandate day 674</x:v>
      </x:c>
      <x:c r="B1" s="4" t="str">
        <x:v>First-term historical comparison at mandate day 674</x:v>
      </x:c>
      <x:c r="C1" s="4" t="str">
        <x:v>First-term historical comparison at mandate day 674</x:v>
      </x:c>
      <x:c r="D1" s="4" t="str">
        <x:v>First-term historical comparison at mandate day 674</x:v>
      </x:c>
      <x:c r="E1" s="4" t="str">
        <x:v>First-term historical comparison at mandate day 674</x:v>
      </x:c>
      <x:c r="F1" s="4" t="str">
        <x:v>First-term historical comparison at mandate day 674</x:v>
      </x:c>
      <x:c r="G1" s="4" t="str">
        <x:v>First-term historical comparison at mandate day 674</x:v>
      </x:c>
      <x:c r="H1" s="4" t="str">
        <x:v>First-term historical comparison at mandate day 674</x:v>
      </x:c>
      <x:c r="I1" s="4" t="str">
        <x:v>First-term historical comparison at mandate day 674</x:v>
      </x:c>
      <x:c r="J1" s="4" t="str">
        <x:v>First-term historical comparison at mandate day 674</x:v>
      </x:c>
      <x:c r="K1" s="4" t="str">
        <x:v>First-term historical comparison at mandate day 674</x:v>
      </x:c>
      <x:c r="L1" s="4" t="str">
        <x:v>First-term historical comparison at mandate day 674</x:v>
      </x:c>
      <x:c r="M1" s="4" t="str">
        <x:v>First-term historical comparison at mandate day 674</x:v>
      </x:c>
      <x:c r="N1" s="4" t="str">
        <x:v>First-term historical comparison at mandate day 674</x:v>
      </x:c>
      <x:c r="O1" s="4" t="str">
        <x:v>First-term historical comparison at mandate day 674</x:v>
      </x:c>
      <x:c r="P1" s="4" t="str">
        <x:v>First-term historical comparison at mandate day 674</x:v>
      </x:c>
      <x:c r="Q1" s="4" t="str">
        <x:v>First-term historical comparison at mandate day 674</x:v>
      </x:c>
      <x:c r="R1" s="4" t="str">
        <x:v>First-term historical comparison at mandate day 674</x:v>
      </x:c>
      <x:c r="S1" s="4" t="str">
        <x:v>First-term historical comparison at mandate day 674</x:v>
      </x:c>
      <x:c r="T1" s="4" t="str">
        <x:v>First-term historical comparison at mandate day 674</x:v>
      </x:c>
      <x:c r="U1" s="4" t="str">
        <x:v>First-term historical comparison at mandate day 674</x:v>
      </x:c>
      <x:c r="V1" s="4" t="str">
        <x:v>First-term historical comparison at mandate day 674</x:v>
      </x:c>
      <x:c r="W1" s="4" t="str">
        <x:v>First-term historical comparison at mandate day 674</x:v>
      </x:c>
      <x:c r="X1" s="4" t="str">
        <x:v>First-term historical comparison at mandate day 674</x:v>
      </x:c>
      <x:c r="Y1" s="4" t="str">
        <x:v>First-term historical comparison at mandate day 674</x:v>
      </x:c>
      <x:c r="Z1" s="4" t="str">
        <x:v>First-term historical comparison at mandate day 674</x:v>
      </x:c>
      <x:c r="AA1" s="4" t="str">
        <x:v>First-term historical comparison at mandate day 674</x:v>
      </x:c>
      <x:c r="AB1" s="4" t="str">
        <x:v>First-term historical comparison at mandate day 674</x:v>
      </x:c>
      <x:c r="AC1" s="4" t="str">
        <x:v>First-term historical comparison at mandate day 674</x:v>
      </x:c>
      <x:c r="AD1" s="4" t="str">
        <x:v>First-term historical comparison at mandate day 674</x:v>
      </x:c>
      <x:c r="AE1" s="4" t="str">
        <x:v>First-term historical comparison at mandate day 674</x:v>
      </x:c>
      <x:c r="AF1" s="4" t="str">
        <x:v>First-term historical comparison at mandate day 674</x:v>
      </x:c>
      <x:c r="AG1" s="4" t="str">
        <x:v>First-term historical comparison at mandate day 674</x:v>
      </x:c>
      <x:c r="AH1" s="4" t="str">
        <x:v>First-term historical comparison at mandate day 674</x:v>
      </x:c>
    </x:row>
    <x:row r="2" ht="25" customHeight="1">
      <x:c r="A2" s="161" t="str">
        <x:v>Strict historical inputs exclude polls fielded after each cutoff. A negative poll distance means before the target date; Holt's distance is to the latest ensemble component.</x:v>
      </x:c>
      <x:c r="B2" s="161" t="str">
        <x:v>Strict historical inputs exclude polls fielded after each cutoff. A negative poll distance means before the target date; Holt's distance is to the latest ensemble component.</x:v>
      </x:c>
      <x:c r="C2" s="161" t="str">
        <x:v>Strict historical inputs exclude polls fielded after each cutoff. A negative poll distance means before the target date; Holt's distance is to the latest ensemble component.</x:v>
      </x:c>
      <x:c r="D2" s="161" t="str">
        <x:v>Strict historical inputs exclude polls fielded after each cutoff. A negative poll distance means before the target date; Holt's distance is to the latest ensemble component.</x:v>
      </x:c>
      <x:c r="E2" s="161" t="str">
        <x:v>Strict historical inputs exclude polls fielded after each cutoff. A negative poll distance means before the target date; Holt's distance is to the latest ensemble component.</x:v>
      </x:c>
      <x:c r="F2" s="161" t="str">
        <x:v>Strict historical inputs exclude polls fielded after each cutoff. A negative poll distance means before the target date; Holt's distance is to the latest ensemble component.</x:v>
      </x:c>
      <x:c r="G2" s="161" t="str">
        <x:v>Strict historical inputs exclude polls fielded after each cutoff. A negative poll distance means before the target date; Holt's distance is to the latest ensemble component.</x:v>
      </x:c>
      <x:c r="H2" s="161" t="str">
        <x:v>Strict historical inputs exclude polls fielded after each cutoff. A negative poll distance means before the target date; Holt's distance is to the latest ensemble component.</x:v>
      </x:c>
      <x:c r="I2" s="161" t="str">
        <x:v>Strict historical inputs exclude polls fielded after each cutoff. A negative poll distance means before the target date; Holt's distance is to the latest ensemble component.</x:v>
      </x:c>
      <x:c r="J2" s="161" t="str">
        <x:v>Strict historical inputs exclude polls fielded after each cutoff. A negative poll distance means before the target date; Holt's distance is to the latest ensemble component.</x:v>
      </x:c>
      <x:c r="K2" s="161" t="str">
        <x:v>Strict historical inputs exclude polls fielded after each cutoff. A negative poll distance means before the target date; Holt's distance is to the latest ensemble component.</x:v>
      </x:c>
      <x:c r="L2" s="161" t="str">
        <x:v>Strict historical inputs exclude polls fielded after each cutoff. A negative poll distance means before the target date; Holt's distance is to the latest ensemble component.</x:v>
      </x:c>
      <x:c r="M2" s="161" t="str">
        <x:v>Strict historical inputs exclude polls fielded after each cutoff. A negative poll distance means before the target date; Holt's distance is to the latest ensemble component.</x:v>
      </x:c>
      <x:c r="N2" s="161" t="str">
        <x:v>Strict historical inputs exclude polls fielded after each cutoff. A negative poll distance means before the target date; Holt's distance is to the latest ensemble component.</x:v>
      </x:c>
      <x:c r="O2" s="161" t="str">
        <x:v>Strict historical inputs exclude polls fielded after each cutoff. A negative poll distance means before the target date; Holt's distance is to the latest ensemble component.</x:v>
      </x:c>
      <x:c r="P2" s="161" t="str">
        <x:v>Strict historical inputs exclude polls fielded after each cutoff. A negative poll distance means before the target date; Holt's distance is to the latest ensemble component.</x:v>
      </x:c>
      <x:c r="Q2" s="161" t="str">
        <x:v>Strict historical inputs exclude polls fielded after each cutoff. A negative poll distance means before the target date; Holt's distance is to the latest ensemble component.</x:v>
      </x:c>
      <x:c r="R2" s="161" t="str">
        <x:v>Strict historical inputs exclude polls fielded after each cutoff. A negative poll distance means before the target date; Holt's distance is to the latest ensemble component.</x:v>
      </x:c>
      <x:c r="S2" s="161" t="str">
        <x:v>Strict historical inputs exclude polls fielded after each cutoff. A negative poll distance means before the target date; Holt's distance is to the latest ensemble component.</x:v>
      </x:c>
      <x:c r="T2" s="161" t="str">
        <x:v>Strict historical inputs exclude polls fielded after each cutoff. A negative poll distance means before the target date; Holt's distance is to the latest ensemble component.</x:v>
      </x:c>
      <x:c r="U2" s="161" t="str">
        <x:v>Strict historical inputs exclude polls fielded after each cutoff. A negative poll distance means before the target date; Holt's distance is to the latest ensemble component.</x:v>
      </x:c>
      <x:c r="V2" s="161" t="str">
        <x:v>Strict historical inputs exclude polls fielded after each cutoff. A negative poll distance means before the target date; Holt's distance is to the latest ensemble component.</x:v>
      </x:c>
      <x:c r="W2" s="161" t="str">
        <x:v>Strict historical inputs exclude polls fielded after each cutoff. A negative poll distance means before the target date; Holt's distance is to the latest ensemble component.</x:v>
      </x:c>
      <x:c r="X2" s="161" t="str">
        <x:v>Strict historical inputs exclude polls fielded after each cutoff. A negative poll distance means before the target date; Holt's distance is to the latest ensemble component.</x:v>
      </x:c>
      <x:c r="Y2" s="161" t="str">
        <x:v>Strict historical inputs exclude polls fielded after each cutoff. A negative poll distance means before the target date; Holt's distance is to the latest ensemble component.</x:v>
      </x:c>
      <x:c r="Z2" s="161" t="str">
        <x:v>Strict historical inputs exclude polls fielded after each cutoff. A negative poll distance means before the target date; Holt's distance is to the latest ensemble component.</x:v>
      </x:c>
      <x:c r="AA2" s="161" t="str">
        <x:v>Strict historical inputs exclude polls fielded after each cutoff. A negative poll distance means before the target date; Holt's distance is to the latest ensemble component.</x:v>
      </x:c>
      <x:c r="AB2" s="161" t="str">
        <x:v>Strict historical inputs exclude polls fielded after each cutoff. A negative poll distance means before the target date; Holt's distance is to the latest ensemble component.</x:v>
      </x:c>
      <x:c r="AC2" s="161" t="str">
        <x:v>Strict historical inputs exclude polls fielded after each cutoff. A negative poll distance means before the target date; Holt's distance is to the latest ensemble component.</x:v>
      </x:c>
      <x:c r="AD2" s="161" t="str">
        <x:v>Strict historical inputs exclude polls fielded after each cutoff. A negative poll distance means before the target date; Holt's distance is to the latest ensemble component.</x:v>
      </x:c>
      <x:c r="AE2" s="161" t="str">
        <x:v>Strict historical inputs exclude polls fielded after each cutoff. A negative poll distance means before the target date; Holt's distance is to the latest ensemble component.</x:v>
      </x:c>
      <x:c r="AF2" s="161" t="str">
        <x:v>Strict historical inputs exclude polls fielded after each cutoff. A negative poll distance means before the target date; Holt's distance is to the latest ensemble component.</x:v>
      </x:c>
      <x:c r="AG2" s="161" t="str">
        <x:v>Strict historical inputs exclude polls fielded after each cutoff. A negative poll distance means before the target date; Holt's distance is to the latest ensemble component.</x:v>
      </x:c>
      <x:c r="AH2" s="161" t="str">
        <x:v>Strict historical inputs exclude polls fielded after each cutoff. A negative poll distance means before the target date; Holt's distance is to the latest ensemble component.</x:v>
      </x:c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  <x:c r="AA3" s="162"/>
      <x:c r="AB3" s="162"/>
      <x:c r="AC3" s="162"/>
      <x:c r="AD3" s="162"/>
      <x:c r="AE3" s="162"/>
      <x:c r="AF3" s="162"/>
      <x:c r="AG3" s="162"/>
      <x:c r="AH3" s="162"/>
    </x:row>
    <x:row r="4" ht="30" customHeight="1">
      <x:c r="A4" s="39" t="str">
        <x:v>Premier</x:v>
      </x:c>
      <x:c r="B4" s="40" t="str">
        <x:v>Party</x:v>
      </x:c>
      <x:c r="C4" s="40" t="str">
        <x:v>Election date</x:v>
      </x:c>
      <x:c r="D4" s="40" t="str">
        <x:v>Day-674 date</x:v>
      </x:c>
      <x:c r="E4" s="40" t="str">
        <x:v>Office day-662 date</x:v>
      </x:c>
      <x:c r="F4" s="40" t="str">
        <x:v>Model input</x:v>
      </x:c>
      <x:c r="G4" s="40" t="str">
        <x:v>Input midpoint / latest</x:v>
      </x:c>
      <x:c r="H4" s="40" t="str">
        <x:v>Distance / latest component</x:v>
      </x:c>
      <x:c r="I4" s="40" t="str">
        <x:v>Gov poll</x:v>
      </x:c>
      <x:c r="J4" s="40" t="str">
        <x:v>Top opposition</x:v>
      </x:c>
      <x:c r="K4" s="40" t="str">
        <x:v>Election gov</x:v>
      </x:c>
      <x:c r="L4" s="40" t="str">
        <x:v>Election opp</x:v>
      </x:c>
      <x:c r="M4" s="40" t="str">
        <x:v>Gov lead</x:v>
      </x:c>
      <x:c r="N4" s="40" t="str">
        <x:v>Swing from election</x:v>
      </x:c>
      <x:c r="O4" s="40" t="str">
        <x:v>Retention ratio</x:v>
      </x:c>
      <x:c r="P4" s="40" t="str">
        <x:v>Election margin</x:v>
      </x:c>
      <x:c r="Q4" s="40" t="str">
        <x:v>Change in margin</x:v>
      </x:c>
      <x:c r="R4" s="40" t="str">
        <x:v>Gov satisfaction</x:v>
      </x:c>
      <x:c r="S4" s="40" t="str">
        <x:v>Leader metric</x:v>
      </x:c>
      <x:c r="T4" s="40" t="str">
        <x:v>Status</x:v>
      </x:c>
      <x:c r="U4" s="40" t="str">
        <x:v>Days to next election</x:v>
      </x:c>
      <x:c r="V4" s="40" t="str">
        <x:v>Next gov</x:v>
      </x:c>
      <x:c r="W4" s="40" t="str">
        <x:v>Next opp</x:v>
      </x:c>
      <x:c r="X4" s="40" t="str">
        <x:v>Final margin</x:v>
      </x:c>
      <x:c r="Y4" s="40" t="str">
        <x:v>Margin drift</x:v>
      </x:c>
      <x:c r="Z4" s="40" t="str">
        <x:v>Outcome</x:v>
      </x:c>
      <x:c r="AA4" s="40" t="str">
        <x:v>Grade</x:v>
      </x:c>
      <x:c r="AB4" s="40" t="str">
        <x:v>Source URL</x:v>
      </x:c>
      <x:c r="AC4" s="40" t="str">
        <x:v>Gov measure type</x:v>
      </x:c>
      <x:c r="AD4" s="40" t="str">
        <x:v>Gov measure date</x:v>
      </x:c>
      <x:c r="AE4" s="40" t="str">
        <x:v>Gov source ID</x:v>
      </x:c>
      <x:c r="AF4" s="40" t="str">
        <x:v>Leader measure type</x:v>
      </x:c>
      <x:c r="AG4" s="40" t="str">
        <x:v>Leader measure date</x:v>
      </x:c>
      <x:c r="AH4" s="41" t="str">
        <x:v>Leader source ID</x:v>
      </x:c>
    </x:row>
    <x:row r="5">
      <x:c r="A5" s="17" t="str">
        <x:v>Shawn Graham</x:v>
      </x:c>
      <x:c r="B5" s="17" t="str">
        <x:v>Liberal</x:v>
      </x:c>
      <x:c r="C5" s="20" t="n">
        <x:v>38978.416666666664</x:v>
      </x:c>
      <x:c r="D5" s="20" t="n">
        <x:v>39652.416666666664</x:v>
      </x:c>
      <x:c r="E5" s="20" t="n">
        <x:v>39655.416666666664</x:v>
      </x:c>
      <x:c r="F5" s="17" t="str">
        <x:v>Corporate Research Associates, May 2008 quarterly value</x:v>
      </x:c>
      <x:c r="G5" s="20"/>
      <x:c r="H5" s="17"/>
      <x:c r="I5" s="51" t="n">
        <x:v>51</x:v>
      </x:c>
      <x:c r="J5" s="51" t="n">
        <x:v>36</x:v>
      </x:c>
      <x:c r="K5" s="51" t="n">
        <x:v>47.15760271116861</x:v>
      </x:c>
      <x:c r="L5" s="51" t="n">
        <x:v>47.462021189022764</x:v>
      </x:c>
      <x:c r="M5" s="51" t="n">
        <x:f>I5-J5</x:f>
        <x:v>15</x:v>
      </x:c>
      <x:c r="N5" s="51" t="n">
        <x:f>I5-K5</x:f>
        <x:v>3.8423972888313926</x:v>
      </x:c>
      <x:c r="O5" s="54" t="n">
        <x:f>I5/K5</x:f>
        <x:v>1.0814799113594757</x:v>
      </x:c>
      <x:c r="P5" s="51" t="n">
        <x:f>K5-L5</x:f>
        <x:v>-0.3044184778541563</x:v>
      </x:c>
      <x:c r="Q5" s="51" t="n">
        <x:f>M5-P5</x:f>
        <x:v>15.304418477854156</x:v>
      </x:c>
      <x:c r="R5" s="51" t="n">
        <x:v>59</x:v>
      </x:c>
      <x:c r="S5" s="51" t="n">
        <x:v>38</x:v>
      </x:c>
      <x:c r="T5" s="51" t="str">
        <x:v>Majority</x:v>
      </x:c>
      <x:c r="U5" s="51" t="n">
        <x:v>796</x:v>
      </x:c>
      <x:c r="V5" s="51" t="n">
        <x:v>34.453465037579825</x:v>
      </x:c>
      <x:c r="W5" s="51" t="n">
        <x:v>48.79647712660932</x:v>
      </x:c>
      <x:c r="X5" s="51" t="n">
        <x:f>IF(OR(V5="",W5=""),"",V5-W5)</x:f>
        <x:v>-14.343012089029493</x:v>
      </x:c>
      <x:c r="Y5" s="51" t="n">
        <x:f>IF(X5="","",X5-M5)</x:f>
        <x:v>-29.343012089029493</x:v>
      </x:c>
      <x:c r="Z5" s="17" t="str">
        <x:v>Lost government</x:v>
      </x:c>
      <x:c r="AA5" s="17" t="str">
        <x:v>A- retrospective primary table; field metadata incomplete</x:v>
      </x:c>
      <x:c r="AB5" s="17" t="str">
        <x:v>https://web.archive.org/web/20081219114350/http://www.cra.ca/site-cra/media/CRA/08-3%20NB%20Tables.pdf</x:v>
      </x:c>
      <x:c r="AC5" s="17" t="str">
        <x:v>Government satisfaction</x:v>
      </x:c>
      <x:c r="AD5" s="17" t="str">
        <x:v>2008-05 (exact field dates not found)</x:v>
      </x:c>
      <x:c r="AE5" s="17" t="str">
        <x:v>S18</x:v>
      </x:c>
      <x:c r="AF5" s="17" t="str">
        <x:v>Preferred premier</x:v>
      </x:c>
      <x:c r="AG5" s="17" t="str">
        <x:v>2008-05 (exact field dates not found)</x:v>
      </x:c>
      <x:c r="AH5" s="17" t="str">
        <x:v>S18</x:v>
      </x:c>
    </x:row>
    <x:row r="6">
      <x:c r="A6" s="18" t="str">
        <x:v>David Alward</x:v>
      </x:c>
      <x:c r="B6" s="18" t="str">
        <x:v>PC</x:v>
      </x:c>
      <x:c r="C6" s="21" t="n">
        <x:v>40448.416666666664</x:v>
      </x:c>
      <x:c r="D6" s="21" t="n">
        <x:v>41122.416666666664</x:v>
      </x:c>
      <x:c r="E6" s="21" t="n">
        <x:v>41125.416666666664</x:v>
      </x:c>
      <x:c r="F6" s="18" t="str">
        <x:v>Corporate Research Associates</x:v>
      </x:c>
      <x:c r="G6" s="21" t="n">
        <x:v>41051.416666666664</x:v>
      </x:c>
      <x:c r="H6" s="18" t="n">
        <x:v>-71</x:v>
      </x:c>
      <x:c r="I6" s="52" t="n">
        <x:v>44</x:v>
      </x:c>
      <x:c r="J6" s="52" t="n">
        <x:v>32</x:v>
      </x:c>
      <x:c r="K6" s="52" t="n">
        <x:v>48.79647712660932</x:v>
      </x:c>
      <x:c r="L6" s="52" t="n">
        <x:v>34.453465037579825</x:v>
      </x:c>
      <x:c r="M6" s="52" t="n">
        <x:f>I6-J6</x:f>
        <x:v>12</x:v>
      </x:c>
      <x:c r="N6" s="52" t="n">
        <x:f>I6-K6</x:f>
        <x:v>-4.796477126609318</x:v>
      </x:c>
      <x:c r="O6" s="55" t="n">
        <x:f>I6/K6</x:f>
        <x:v>0.9017044383313946</x:v>
      </x:c>
      <x:c r="P6" s="52" t="n">
        <x:f>K6-L6</x:f>
        <x:v>14.343012089029493</x:v>
      </x:c>
      <x:c r="Q6" s="52" t="n">
        <x:f>M6-P6</x:f>
        <x:v>-2.343012089029493</x:v>
      </x:c>
      <x:c r="R6" s="52" t="n">
        <x:v>45</x:v>
      </x:c>
      <x:c r="S6" s="52" t="n">
        <x:v>37</x:v>
      </x:c>
      <x:c r="T6" s="52" t="str">
        <x:v>Majority</x:v>
      </x:c>
      <x:c r="U6" s="52" t="n">
        <x:v>782</x:v>
      </x:c>
      <x:c r="V6" s="52" t="n">
        <x:v>34.64769636761276</x:v>
      </x:c>
      <x:c r="W6" s="52" t="n">
        <x:v>42.73213195279484</x:v>
      </x:c>
      <x:c r="X6" s="52" t="n">
        <x:f>IF(OR(V6="",W6=""),"",V6-W6)</x:f>
        <x:v>-8.084435585182078</x:v>
      </x:c>
      <x:c r="Y6" s="52" t="n">
        <x:f>IF(X6="","",X6-M6)</x:f>
        <x:v>-20.084435585182078</x:v>
      </x:c>
      <x:c r="Z6" s="18" t="str">
        <x:v>Lost government</x:v>
      </x:c>
      <x:c r="AA6" s="18" t="str">
        <x:v>B; original release URL identified but inaccessible</x:v>
      </x:c>
      <x:c r="AB6" s="18" t="str">
        <x:v>https://cra.ca/wp-content/uploads/2012/06/12-2-NB-Media-Release.pdf</x:v>
      </x:c>
      <x:c r="AC6" s="18" t="str">
        <x:v>Government satisfaction</x:v>
      </x:c>
      <x:c r="AD6" s="18" t="str">
        <x:v>2012-05-22 midpoint</x:v>
      </x:c>
      <x:c r="AE6" s="18" t="str">
        <x:v>S13</x:v>
      </x:c>
      <x:c r="AF6" s="18" t="str">
        <x:v>Preferred premier</x:v>
      </x:c>
      <x:c r="AG6" s="18" t="str">
        <x:v>2012-05-22 midpoint</x:v>
      </x:c>
      <x:c r="AH6" s="18" t="str">
        <x:v>S13</x:v>
      </x:c>
    </x:row>
    <x:row r="7">
      <x:c r="A7" s="18" t="str">
        <x:v>Brian Gallant</x:v>
      </x:c>
      <x:c r="B7" s="18" t="str">
        <x:v>Liberal</x:v>
      </x:c>
      <x:c r="C7" s="21" t="n">
        <x:v>41904.416666666664</x:v>
      </x:c>
      <x:c r="D7" s="21" t="n">
        <x:v>42578.416666666664</x:v>
      </x:c>
      <x:c r="E7" s="21" t="n">
        <x:v>42581.416666666664</x:v>
      </x:c>
      <x:c r="F7" s="18" t="str">
        <x:v>MQO Research</x:v>
      </x:c>
      <x:c r="G7" s="21" t="n">
        <x:v>42563.416666666664</x:v>
      </x:c>
      <x:c r="H7" s="18" t="n">
        <x:v>-15</x:v>
      </x:c>
      <x:c r="I7" s="52" t="n">
        <x:v>50</x:v>
      </x:c>
      <x:c r="J7" s="52" t="n">
        <x:v>28</x:v>
      </x:c>
      <x:c r="K7" s="52" t="n">
        <x:v>42.73213195279484</x:v>
      </x:c>
      <x:c r="L7" s="52" t="n">
        <x:v>34.64769636761276</x:v>
      </x:c>
      <x:c r="M7" s="52" t="n">
        <x:f>I7-J7</x:f>
        <x:v>22</x:v>
      </x:c>
      <x:c r="N7" s="52" t="n">
        <x:f>I7-K7</x:f>
        <x:v>7.267868047205162</x:v>
      </x:c>
      <x:c r="O7" s="55" t="n">
        <x:f>I7/K7</x:f>
        <x:v>1.1700796968247174</x:v>
      </x:c>
      <x:c r="P7" s="52" t="n">
        <x:f>K7-L7</x:f>
        <x:v>8.084435585182078</x:v>
      </x:c>
      <x:c r="Q7" s="52" t="n">
        <x:f>M7-P7</x:f>
        <x:v>13.915564414817922</x:v>
      </x:c>
      <x:c r="R7" s="52" t="n">
        <x:v>49</x:v>
      </x:c>
      <x:c r="S7" s="52" t="n">
        <x:v>4.8</x:v>
      </x:c>
      <x:c r="T7" s="52" t="str">
        <x:v>Majority</x:v>
      </x:c>
      <x:c r="U7" s="52" t="n">
        <x:v>789</x:v>
      </x:c>
      <x:c r="V7" s="52" t="n">
        <x:v>37.80362443245006</x:v>
      </x:c>
      <x:c r="W7" s="52" t="n">
        <x:v>31.890588727084392</x:v>
      </x:c>
      <x:c r="X7" s="52" t="n">
        <x:f>IF(OR(V7="",W7=""),"",V7-W7)</x:f>
        <x:v>5.913035705365665</x:v>
      </x:c>
      <x:c r="Y7" s="52" t="n">
        <x:f>IF(X7="","",X7-M7)</x:f>
        <x:v>-16.086964294634335</x:v>
      </x:c>
      <x:c r="Z7" s="18" t="str">
        <x:v>Popular-vote plurality, fewer seats, lost government</x:v>
      </x:c>
      <x:c r="AA7" s="18" t="str">
        <x:v>A- archived original</x:v>
      </x:c>
      <x:c r="AB7" s="18" t="str">
        <x:v>https://web.archive.org/web/20170207112809/https://www.mqoresearch.com/am-nb-0716.pdf</x:v>
      </x:c>
      <x:c r="AC7" s="18" t="str">
        <x:v>Government satisfaction</x:v>
      </x:c>
      <x:c r="AD7" s="18" t="str">
        <x:v>2016-05-21 midpoint</x:v>
      </x:c>
      <x:c r="AE7" s="18" t="str">
        <x:v>S16</x:v>
      </x:c>
      <x:c r="AF7" s="18" t="str">
        <x:v>MQO leadership score, 1-10</x:v>
      </x:c>
      <x:c r="AG7" s="18" t="str">
        <x:v>2016-07-12 midpoint</x:v>
      </x:c>
      <x:c r="AH7" s="18" t="str">
        <x:v>S10</x:v>
      </x:c>
    </x:row>
    <x:row r="8">
      <x:c r="A8" s="18" t="str">
        <x:v>Blaine Higgs</x:v>
      </x:c>
      <x:c r="B8" s="18" t="str">
        <x:v>PC</x:v>
      </x:c>
      <x:c r="C8" s="21" t="n">
        <x:v>43367.416666666664</x:v>
      </x:c>
      <x:c r="D8" s="21" t="n">
        <x:v>44041.416666666664</x:v>
      </x:c>
      <x:c r="E8" s="21" t="n">
        <x:v>44075.416666666664</x:v>
      </x:c>
      <x:c r="F8" s="18" t="str">
        <x:v>Angus Reid Institute</x:v>
      </x:c>
      <x:c r="G8" s="21" t="n">
        <x:v>43973.416666666664</x:v>
      </x:c>
      <x:c r="H8" s="18" t="n">
        <x:v>-68</x:v>
      </x:c>
      <x:c r="I8" s="52" t="n">
        <x:v>39</x:v>
      </x:c>
      <x:c r="J8" s="52" t="n">
        <x:v>26</x:v>
      </x:c>
      <x:c r="K8" s="52" t="n">
        <x:v>31.890588727084392</x:v>
      </x:c>
      <x:c r="L8" s="52" t="n">
        <x:v>37.80362443245006</x:v>
      </x:c>
      <x:c r="M8" s="52" t="n">
        <x:f>I8-J8</x:f>
        <x:v>13</x:v>
      </x:c>
      <x:c r="N8" s="52" t="n">
        <x:f>I8-K8</x:f>
        <x:v>7.109411272915608</x:v>
      </x:c>
      <x:c r="O8" s="55" t="n">
        <x:f>I8/K8</x:f>
        <x:v>1.2229313272877163</x:v>
      </x:c>
      <x:c r="P8" s="52" t="n">
        <x:f>K8-L8</x:f>
        <x:v>-5.913035705365665</x:v>
      </x:c>
      <x:c r="Q8" s="52" t="n">
        <x:f>M8-P8</x:f>
        <x:v>18.913035705365665</x:v>
      </x:c>
      <x:c r="R8" s="52" t="n">
        <x:v>81</x:v>
      </x:c>
      <x:c r="S8" s="52" t="n">
        <x:v>80</x:v>
      </x:c>
      <x:c r="T8" s="52" t="str">
        <x:v>Minority</x:v>
      </x:c>
      <x:c r="U8" s="52" t="n">
        <x:v>47</x:v>
      </x:c>
      <x:c r="V8" s="52" t="n">
        <x:v>39.34383460628213</x:v>
      </x:c>
      <x:c r="W8" s="52" t="n">
        <x:v>34.34832031988329</x:v>
      </x:c>
      <x:c r="X8" s="52" t="n">
        <x:f>IF(OR(V8="",W8=""),"",V8-W8)</x:f>
        <x:v>4.995514286398837</x:v>
      </x:c>
      <x:c r="Y8" s="52" t="n">
        <x:f>IF(X8="","",X8-M8)</x:f>
        <x:v>-8.004485713601163</x:v>
      </x:c>
      <x:c r="Z8" s="18" t="str">
        <x:v>Re-elected with majority</x:v>
      </x:c>
      <x:c r="AA8" s="18" t="str">
        <x:v>A; closest pre-cutoff poll, low NB decided n=199</x:v>
      </x:c>
      <x:c r="AB8" s="18" t="str">
        <x:v>https://angusreid.org/provincial-outlook-june2020/</x:v>
      </x:c>
      <x:c r="AC8" s="18" t="str">
        <x:v>Government satisfaction</x:v>
      </x:c>
      <x:c r="AD8" s="18" t="str">
        <x:v>2020-05-11 midpoint</x:v>
      </x:c>
      <x:c r="AE8" s="18" t="str">
        <x:v>S12</x:v>
      </x:c>
      <x:c r="AF8" s="18" t="str">
        <x:v>Premier approval</x:v>
      </x:c>
      <x:c r="AG8" s="18" t="str">
        <x:v>2020-05-22 midpoint</x:v>
      </x:c>
      <x:c r="AH8" s="18" t="str">
        <x:v>S11</x:v>
      </x:c>
    </x:row>
    <x:row r="9">
      <x:c r="A9" s="82" t="str">
        <x:v>Susan Holt</x:v>
      </x:c>
      <x:c r="B9" s="82" t="str">
        <x:v>Liberal</x:v>
      </x:c>
      <x:c r="C9" s="83" t="n">
        <x:v>45586.416666666664</x:v>
      </x:c>
      <x:c r="D9" s="83" t="n">
        <x:v>46260.416666666664</x:v>
      </x:c>
      <x:c r="E9" s="83" t="n">
        <x:v>46260.416666666664</x:v>
      </x:c>
      <x:c r="F9" s="82" t="str">
        <x:v>Three-poll recency ensemble</x:v>
      </x:c>
      <x:c r="G9" s="83" t="n">
        <x:v>46237.416666666664</x:v>
      </x:c>
      <x:c r="H9" s="82" t="n">
        <x:v>-23.5</x:v>
      </x:c>
      <x:c r="I9" s="84" t="n">
        <x:v>43.1541724958968</x:v>
      </x:c>
      <x:c r="J9" s="84" t="n">
        <x:v>32.964969227287966</x:v>
      </x:c>
      <x:c r="K9" s="84" t="n">
        <x:v>48.25855907073328</x:v>
      </x:c>
      <x:c r="L9" s="84" t="n">
        <x:v>35.053555080459404</x:v>
      </x:c>
      <x:c r="M9" s="84" t="n">
        <x:f>I9-J9</x:f>
        <x:v>10.189203268608836</x:v>
      </x:c>
      <x:c r="N9" s="84" t="n">
        <x:f>I9-K9</x:f>
        <x:v>-5.104386574836475</x:v>
      </x:c>
      <x:c r="O9" s="85" t="n">
        <x:f>I9/K9</x:f>
        <x:v>0.8942283675035779</x:v>
      </x:c>
      <x:c r="P9" s="84" t="n">
        <x:f>K9-L9</x:f>
        <x:v>13.205003990273873</x:v>
      </x:c>
      <x:c r="Q9" s="84" t="n">
        <x:f>M9-P9</x:f>
        <x:v>-3.0158007216650375</x:v>
      </x:c>
      <x:c r="R9" s="84" t="n">
        <x:v>35</x:v>
      </x:c>
      <x:c r="S9" s="84" t="n">
        <x:v>41</x:v>
      </x:c>
      <x:c r="T9" s="84" t="str">
        <x:v>Majority</x:v>
      </x:c>
      <x:c r="U9" s="84" t="n">
        <x:v>782</x:v>
      </x:c>
      <x:c r="V9" s="84"/>
      <x:c r="W9" s="84"/>
      <x:c r="X9" s="84" t="str">
        <x:f>IF(OR(V9="",W9=""),"",V9-W9)</x:f>
      </x:c>
      <x:c r="Y9" s="84" t="str">
        <x:f>IF(X9="","",X9-M9)</x:f>
      </x:c>
      <x:c r="Z9" s="82" t="str">
        <x:v>Unknown</x:v>
      </x:c>
      <x:c r="AA9" s="82" t="str">
        <x:v>A/A- primary releases; derived ensemble</x:v>
      </x:c>
      <x:c r="AB9" s="82" t="str">
        <x:v>https://abacusdata.ca/holts-liberals-maintain-strong-lead-as-pcs-search-for-new-leader/</x:v>
      </x:c>
      <x:c r="AC9" s="82" t="str">
        <x:v>Government satisfaction</x:v>
      </x:c>
      <x:c r="AD9" s="82" t="str">
        <x:v>2026-06-13 midpoint</x:v>
      </x:c>
      <x:c r="AE9" s="82" t="str">
        <x:v>S08</x:v>
      </x:c>
      <x:c r="AF9" s="82" t="str">
        <x:v>Premier approval</x:v>
      </x:c>
      <x:c r="AG9" s="82" t="str">
        <x:v>2026-06-09 midpoint</x:v>
      </x:c>
      <x:c r="AH9" s="82" t="str">
        <x:v>S09</x:v>
      </x:c>
    </x:row>
    <x:row r="10">
      <x:c r="A10" s="162"/>
      <x:c r="B10" s="162"/>
      <x:c r="C10" s="162"/>
      <x:c r="D10" s="162"/>
      <x:c r="E10" s="162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  <x:c r="S10" s="162"/>
      <x:c r="T10" s="162"/>
      <x:c r="U10" s="162"/>
      <x:c r="V10" s="162"/>
      <x:c r="W10" s="162"/>
      <x:c r="X10" s="162"/>
      <x:c r="Y10" s="162"/>
      <x:c r="Z10" s="162"/>
      <x:c r="AA10" s="162"/>
      <x:c r="AB10" s="162"/>
      <x:c r="AC10" s="162"/>
      <x:c r="AD10" s="162"/>
      <x:c r="AE10" s="162"/>
      <x:c r="AF10" s="162"/>
      <x:c r="AG10" s="162"/>
      <x:c r="AH10" s="162"/>
    </x:row>
    <x:row r="11">
      <x:c r="A11" s="162"/>
      <x:c r="B11" s="162"/>
      <x:c r="C11" s="162"/>
      <x:c r="D11" s="162"/>
      <x:c r="E11" s="162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2"/>
      <x:c r="P11" s="162"/>
      <x:c r="Q11" s="162"/>
      <x:c r="R11" s="162"/>
      <x:c r="S11" s="162"/>
      <x:c r="T11" s="162"/>
      <x:c r="U11" s="162"/>
      <x:c r="V11" s="162"/>
      <x:c r="W11" s="162"/>
      <x:c r="X11" s="162"/>
      <x:c r="Y11" s="162"/>
      <x:c r="Z11" s="162"/>
      <x:c r="AA11" s="162"/>
      <x:c r="AB11" s="162"/>
      <x:c r="AC11" s="162"/>
      <x:c r="AD11" s="162"/>
      <x:c r="AE11" s="162"/>
      <x:c r="AF11" s="162"/>
      <x:c r="AG11" s="162"/>
      <x:c r="AH11" s="162"/>
    </x:row>
    <x:row r="12">
      <x:c r="A12" s="162"/>
      <x:c r="B12" s="162"/>
      <x:c r="C12" s="162"/>
      <x:c r="D12" s="162"/>
      <x:c r="E12" s="162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2"/>
      <x:c r="P12" s="162"/>
      <x:c r="Q12" s="162"/>
      <x:c r="R12" s="162"/>
      <x:c r="S12" s="169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T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U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V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W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X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Y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Z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A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B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C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D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E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F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G12" s="170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H12" s="171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</x:row>
    <x:row r="13">
      <x:c r="A13" s="162"/>
      <x:c r="B13" s="162"/>
      <x:c r="C13" s="162"/>
      <x:c r="D13" s="162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2"/>
      <x:c r="P13" s="162"/>
      <x:c r="Q13" s="162"/>
      <x:c r="R13" s="162"/>
      <x:c r="S13" s="172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T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U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V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W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X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Y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Z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A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B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C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D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E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F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G13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H13" s="174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</x:row>
    <x:row r="14">
      <x:c r="A14" s="162"/>
      <x:c r="B14" s="162"/>
      <x:c r="C14" s="162"/>
      <x:c r="D14" s="162"/>
      <x:c r="E14" s="162"/>
      <x:c r="F14" s="162"/>
      <x:c r="G14" s="162"/>
      <x:c r="H14" s="162"/>
      <x:c r="I14" s="162"/>
      <x:c r="J14" s="162"/>
      <x:c r="K14" s="162"/>
      <x:c r="L14" s="162"/>
      <x:c r="M14" s="162"/>
      <x:c r="N14" s="162"/>
      <x:c r="O14" s="162"/>
      <x:c r="P14" s="162"/>
      <x:c r="Q14" s="162"/>
      <x:c r="R14" s="162"/>
      <x:c r="S14" s="172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T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U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V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W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X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Y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Z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A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B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C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D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E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F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G14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H14" s="174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</x:row>
    <x:row r="15">
      <x:c r="A15" s="162"/>
      <x:c r="B15" s="162"/>
      <x:c r="C15" s="162"/>
      <x:c r="D15" s="162"/>
      <x:c r="E15" s="162"/>
      <x:c r="F15" s="162"/>
      <x:c r="G15" s="162"/>
      <x:c r="H15" s="162"/>
      <x:c r="I15" s="162"/>
      <x:c r="J15" s="162"/>
      <x:c r="K15" s="162"/>
      <x:c r="L15" s="162"/>
      <x:c r="M15" s="162"/>
      <x:c r="N15" s="162"/>
      <x:c r="O15" s="162"/>
      <x:c r="P15" s="162"/>
      <x:c r="Q15" s="162"/>
      <x:c r="R15" s="162"/>
      <x:c r="S15" s="172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T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U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V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W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X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Y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Z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A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B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C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D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E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F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G15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H15" s="174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</x:row>
    <x:row r="16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  <x:c r="K16" s="162"/>
      <x:c r="L16" s="162"/>
      <x:c r="M16" s="162"/>
      <x:c r="N16" s="162"/>
      <x:c r="O16" s="162"/>
      <x:c r="P16" s="162"/>
      <x:c r="Q16" s="162"/>
      <x:c r="R16" s="162"/>
      <x:c r="S16" s="172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T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U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V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W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X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Y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Z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A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B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C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D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E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F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G16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H16" s="174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</x:row>
    <x:row r="17">
      <x:c r="A17" s="162"/>
      <x:c r="B17" s="162"/>
      <x:c r="C17" s="162"/>
      <x:c r="D17" s="162"/>
      <x:c r="E17" s="162"/>
      <x:c r="F17" s="162"/>
      <x:c r="G17" s="162"/>
      <x:c r="H17" s="162"/>
      <x:c r="I17" s="162"/>
      <x:c r="J17" s="162"/>
      <x:c r="K17" s="162"/>
      <x:c r="L17" s="162"/>
      <x:c r="M17" s="162"/>
      <x:c r="N17" s="162"/>
      <x:c r="O17" s="162"/>
      <x:c r="P17" s="162"/>
      <x:c r="Q17" s="162"/>
      <x:c r="R17" s="162"/>
      <x:c r="S17" s="172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T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U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V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W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X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Y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Z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A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B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C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D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E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F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G17" s="173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H17" s="174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</x:row>
    <x:row r="18">
      <x:c r="A18" s="162"/>
      <x:c r="B18" s="162"/>
      <x:c r="C18" s="162"/>
      <x:c r="D18" s="162"/>
      <x:c r="E18" s="162"/>
      <x:c r="F18" s="162"/>
      <x:c r="G18" s="162"/>
      <x:c r="H18" s="162"/>
      <x:c r="I18" s="162"/>
      <x:c r="J18" s="162"/>
      <x:c r="K18" s="162"/>
      <x:c r="L18" s="162"/>
      <x:c r="M18" s="162"/>
      <x:c r="N18" s="162"/>
      <x:c r="O18" s="162"/>
      <x:c r="P18" s="162"/>
      <x:c r="Q18" s="162"/>
      <x:c r="R18" s="162"/>
      <x:c r="S18" s="175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T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U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V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W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X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Y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Z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A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B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C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D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E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F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G18" s="176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  <x:c r="AH18" s="177" t="str">
        <x:v>Graham's exact May 2008 field midpoint is NOT FOUND. Alward's input is 71 days old. Higgs varies from PC39/L26 online to PC48/L30 by telephone in May 2020. Observed ranks should not be treated as posterior probabilities. Government and leader measures retain type, date and source provenance in columns AC-AH.</x:v>
      </x:c>
    </x:row>
  </x:sheetData>
  <x:mergeCells>
    <x:mergeCell ref="A1:AH1"/>
    <x:mergeCell ref="A2:AH2"/>
    <x:mergeCell ref="S12:AH18"/>
  </x:mergeCells>
  <x:pageMargins left="0.7" right="0.7" top="0.75" bottom="0.75" header="0.3" footer="0.3"/>
  <x:drawing xmlns:r="http://schemas.openxmlformats.org/officeDocument/2006/relationships" r:id="R922087d8e3ea402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27" hidden="0" customWidth="1"/>
    <x:col min="5" max="5" width="13" hidden="0" customWidth="1"/>
    <x:col min="6" max="6" width="38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11" hidden="0" customWidth="1"/>
    <x:col min="14" max="14" width="13" hidden="0" customWidth="1"/>
    <x:col min="15" max="15" width="13" hidden="0" customWidth="1"/>
    <x:col min="16" max="16" width="12" hidden="0" customWidth="1"/>
    <x:col min="17" max="17" width="55" hidden="0" customWidth="1"/>
    <x:col min="18" max="18" width="55" hidden="0" customWidth="1"/>
    <x:col min="19" max="19" width="55" hidden="0" customWidth="1"/>
    <x:col min="20" max="20" width="18" hidden="0" customWidth="1"/>
    <x:col min="21" max="21" width="10" hidden="0" customWidth="1"/>
    <x:col min="22" max="22" width="55" hidden="0" customWidth="1"/>
  </x:cols>
  <x:sheetData>
    <x:row r="1" ht="30" customHeight="1">
      <x:c r="A1" s="4" t="str">
        <x:v>Historical poll inventory</x:v>
      </x:c>
      <x:c r="B1" s="4" t="str">
        <x:v>Historical poll inventory</x:v>
      </x:c>
      <x:c r="C1" s="4" t="str">
        <x:v>Historical poll inventory</x:v>
      </x:c>
      <x:c r="D1" s="4" t="str">
        <x:v>Historical poll inventory</x:v>
      </x:c>
      <x:c r="E1" s="4" t="str">
        <x:v>Historical poll inventory</x:v>
      </x:c>
      <x:c r="F1" s="4" t="str">
        <x:v>Historical poll inventory</x:v>
      </x:c>
      <x:c r="G1" s="4" t="str">
        <x:v>Historical poll inventory</x:v>
      </x:c>
      <x:c r="H1" s="4" t="str">
        <x:v>Historical poll inventory</x:v>
      </x:c>
      <x:c r="I1" s="4" t="str">
        <x:v>Historical poll inventory</x:v>
      </x:c>
      <x:c r="J1" s="4" t="str">
        <x:v>Historical poll inventory</x:v>
      </x:c>
      <x:c r="K1" s="4" t="str">
        <x:v>Historical poll inventory</x:v>
      </x:c>
      <x:c r="L1" s="4" t="str">
        <x:v>Historical poll inventory</x:v>
      </x:c>
      <x:c r="M1" s="4" t="str">
        <x:v>Historical poll inventory</x:v>
      </x:c>
      <x:c r="N1" s="4" t="str">
        <x:v>Historical poll inventory</x:v>
      </x:c>
      <x:c r="O1" s="4" t="str">
        <x:v>Historical poll inventory</x:v>
      </x:c>
      <x:c r="P1" s="4" t="str">
        <x:v>Historical poll inventory</x:v>
      </x:c>
      <x:c r="Q1" s="4" t="str">
        <x:v>Historical poll inventory</x:v>
      </x:c>
      <x:c r="R1" s="4" t="str">
        <x:v>Historical poll inventory</x:v>
      </x:c>
      <x:c r="S1" s="4" t="str">
        <x:v>Historical poll inventory</x:v>
      </x:c>
      <x:c r="T1" s="4" t="str">
        <x:v>Historical poll inventory</x:v>
      </x:c>
      <x:c r="U1" s="4" t="str">
        <x:v>Historical poll inventory</x:v>
      </x:c>
      <x:c r="V1" s="4" t="str">
        <x:v>Historical poll inventory</x:v>
      </x:c>
    </x:row>
    <x:row r="2" ht="25" customHeight="1">
      <x:c r="A2" s="161" t="str">
        <x:v>114 linked poll-table observations. Grade C inventory rows are discovery records and are excluded from the core quantitative model unless separately upgraded.</x:v>
      </x:c>
      <x:c r="B2" s="161" t="str">
        <x:v>114 linked poll-table observations. Grade C inventory rows are discovery records and are excluded from the core quantitative model unless separately upgraded.</x:v>
      </x:c>
      <x:c r="C2" s="161" t="str">
        <x:v>114 linked poll-table observations. Grade C inventory rows are discovery records and are excluded from the core quantitative model unless separately upgraded.</x:v>
      </x:c>
      <x:c r="D2" s="161" t="str">
        <x:v>114 linked poll-table observations. Grade C inventory rows are discovery records and are excluded from the core quantitative model unless separately upgraded.</x:v>
      </x:c>
      <x:c r="E2" s="161" t="str">
        <x:v>114 linked poll-table observations. Grade C inventory rows are discovery records and are excluded from the core quantitative model unless separately upgraded.</x:v>
      </x:c>
      <x:c r="F2" s="161" t="str">
        <x:v>114 linked poll-table observations. Grade C inventory rows are discovery records and are excluded from the core quantitative model unless separately upgraded.</x:v>
      </x:c>
      <x:c r="G2" s="161" t="str">
        <x:v>114 linked poll-table observations. Grade C inventory rows are discovery records and are excluded from the core quantitative model unless separately upgraded.</x:v>
      </x:c>
      <x:c r="H2" s="161" t="str">
        <x:v>114 linked poll-table observations. Grade C inventory rows are discovery records and are excluded from the core quantitative model unless separately upgraded.</x:v>
      </x:c>
      <x:c r="I2" s="161" t="str">
        <x:v>114 linked poll-table observations. Grade C inventory rows are discovery records and are excluded from the core quantitative model unless separately upgraded.</x:v>
      </x:c>
      <x:c r="J2" s="161" t="str">
        <x:v>114 linked poll-table observations. Grade C inventory rows are discovery records and are excluded from the core quantitative model unless separately upgraded.</x:v>
      </x:c>
      <x:c r="K2" s="161" t="str">
        <x:v>114 linked poll-table observations. Grade C inventory rows are discovery records and are excluded from the core quantitative model unless separately upgraded.</x:v>
      </x:c>
      <x:c r="L2" s="161" t="str">
        <x:v>114 linked poll-table observations. Grade C inventory rows are discovery records and are excluded from the core quantitative model unless separately upgraded.</x:v>
      </x:c>
      <x:c r="M2" s="161" t="str">
        <x:v>114 linked poll-table observations. Grade C inventory rows are discovery records and are excluded from the core quantitative model unless separately upgraded.</x:v>
      </x:c>
      <x:c r="N2" s="161" t="str">
        <x:v>114 linked poll-table observations. Grade C inventory rows are discovery records and are excluded from the core quantitative model unless separately upgraded.</x:v>
      </x:c>
      <x:c r="O2" s="161" t="str">
        <x:v>114 linked poll-table observations. Grade C inventory rows are discovery records and are excluded from the core quantitative model unless separately upgraded.</x:v>
      </x:c>
      <x:c r="P2" s="161" t="str">
        <x:v>114 linked poll-table observations. Grade C inventory rows are discovery records and are excluded from the core quantitative model unless separately upgraded.</x:v>
      </x:c>
      <x:c r="Q2" s="161" t="str">
        <x:v>114 linked poll-table observations. Grade C inventory rows are discovery records and are excluded from the core quantitative model unless separately upgraded.</x:v>
      </x:c>
      <x:c r="R2" s="161" t="str">
        <x:v>114 linked poll-table observations. Grade C inventory rows are discovery records and are excluded from the core quantitative model unless separately upgraded.</x:v>
      </x:c>
      <x:c r="S2" s="161" t="str">
        <x:v>114 linked poll-table observations. Grade C inventory rows are discovery records and are excluded from the core quantitative model unless separately upgraded.</x:v>
      </x:c>
      <x:c r="T2" s="161" t="str">
        <x:v>114 linked poll-table observations. Grade C inventory rows are discovery records and are excluded from the core quantitative model unless separately upgraded.</x:v>
      </x:c>
      <x:c r="U2" s="161" t="str">
        <x:v>114 linked poll-table observations. Grade C inventory rows are discovery records and are excluded from the core quantitative model unless separately upgraded.</x:v>
      </x:c>
      <x:c r="V2" s="161" t="str">
        <x:v>114 linked poll-table observations. Grade C inventory rows are discovery records and are excluded from the core quantitative model unless separately upgraded.</x:v>
      </x:c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</x:row>
    <x:row r="4" ht="30" customHeight="1">
      <x:c r="A4" s="39" t="str">
        <x:v>Poll ID</x:v>
      </x:c>
      <x:c r="B4" s="40" t="str">
        <x:v>Government</x:v>
      </x:c>
      <x:c r="C4" s="40" t="str">
        <x:v>Premier</x:v>
      </x:c>
      <x:c r="D4" s="40" t="str">
        <x:v>Pollster</x:v>
      </x:c>
      <x:c r="E4" s="40" t="str">
        <x:v>Poll date/end</x:v>
      </x:c>
      <x:c r="F4" s="40" t="str">
        <x:v>Basis</x:v>
      </x:c>
      <x:c r="G4" s="40" t="str">
        <x:v>Liberal</x:v>
      </x:c>
      <x:c r="H4" s="40" t="str">
        <x:v>PC</x:v>
      </x:c>
      <x:c r="I4" s="40" t="str">
        <x:v>Green</x:v>
      </x:c>
      <x:c r="J4" s="40" t="str">
        <x:v>NDP</x:v>
      </x:c>
      <x:c r="K4" s="40" t="str">
        <x:v>PA</x:v>
      </x:c>
      <x:c r="L4" s="40" t="str">
        <x:v>Other</x:v>
      </x:c>
      <x:c r="M4" s="40" t="str">
        <x:v>Undecided</x:v>
      </x:c>
      <x:c r="N4" s="40" t="str">
        <x:v>Gov satisfaction</x:v>
      </x:c>
      <x:c r="O4" s="40" t="str">
        <x:v>Premier approval</x:v>
      </x:c>
      <x:c r="P4" s="40" t="str">
        <x:v>Grade</x:v>
      </x:c>
      <x:c r="Q4" s="40" t="str">
        <x:v>Primary URL</x:v>
      </x:c>
      <x:c r="R4" s="40" t="str">
        <x:v>Archived URL</x:v>
      </x:c>
      <x:c r="S4" s="40" t="str">
        <x:v>Index URL</x:v>
      </x:c>
      <x:c r="T4" s="40" t="str">
        <x:v>Mode</x:v>
      </x:c>
      <x:c r="U4" s="40" t="str">
        <x:v>Sample</x:v>
      </x:c>
      <x:c r="V4" s="41" t="str">
        <x:v>Notes</x:v>
      </x:c>
    </x:row>
    <x:row r="5">
      <x:c r="A5" s="17" t="str">
        <x:v>alward-2010-11-30-21</x:v>
      </x:c>
      <x:c r="B5" s="17" t="str">
        <x:v>Alward</x:v>
      </x:c>
      <x:c r="C5" s="17" t="str">
        <x:v>David Alward</x:v>
      </x:c>
      <x:c r="D5" s="17" t="str">
        <x:v>Corporate Research Associates</x:v>
      </x:c>
      <x:c r="E5" s="20" t="n">
        <x:v>40512.458333333336</x:v>
      </x:c>
      <x:c r="F5" s="28" t="str">
        <x:v>Reported party shares; denominator/methodology not verified in index</x:v>
      </x:c>
      <x:c r="G5" s="51" t="n">
        <x:v>25</x:v>
      </x:c>
      <x:c r="H5" s="51" t="n">
        <x:v>61</x:v>
      </x:c>
      <x:c r="I5" s="51" t="n">
        <x:v>4</x:v>
      </x:c>
      <x:c r="J5" s="51" t="n">
        <x:v>10</x:v>
      </x:c>
      <x:c r="K5" s="51"/>
      <x:c r="L5" s="51"/>
      <x:c r="M5" s="51"/>
      <x:c r="N5" s="51"/>
      <x:c r="O5" s="51"/>
      <x:c r="P5" s="17" t="str">
        <x:v>C inventory</x:v>
      </x:c>
      <x:c r="Q5" s="17" t="str">
        <x:v>http://cra.ca/wp-content/uploads/2011/03/11-1-NB-Press-Release.pdf</x:v>
      </x:c>
      <x:c r="R5" s="17"/>
      <x:c r="S5" s="17" t="str">
        <x:v>https://en.wikipedia.org/wiki/2014_New_Brunswick_general_election</x:v>
      </x:c>
      <x:c r="T5" s="17"/>
      <x:c r="U5" s="17"/>
      <x:c r="V5" s="28" t="str">
        <x:v>Completeness inventory extracted from linked election poll table. Use only rows separately upgraded to A/B in the core model.</x:v>
      </x:c>
    </x:row>
    <x:row r="6">
      <x:c r="A6" s="18" t="str">
        <x:v>alward-2011-02-28-20</x:v>
      </x:c>
      <x:c r="B6" s="18" t="str">
        <x:v>Alward</x:v>
      </x:c>
      <x:c r="C6" s="18" t="str">
        <x:v>David Alward</x:v>
      </x:c>
      <x:c r="D6" s="18" t="str">
        <x:v>Corporate Research Associates</x:v>
      </x:c>
      <x:c r="E6" s="21" t="n">
        <x:v>40602.458333333336</x:v>
      </x:c>
      <x:c r="F6" s="29" t="str">
        <x:v>Reported party shares; denominator/methodology not verified in index</x:v>
      </x:c>
      <x:c r="G6" s="52" t="n">
        <x:v>27</x:v>
      </x:c>
      <x:c r="H6" s="52" t="n">
        <x:v>58</x:v>
      </x:c>
      <x:c r="I6" s="52" t="n">
        <x:v>6</x:v>
      </x:c>
      <x:c r="J6" s="52" t="n">
        <x:v>8</x:v>
      </x:c>
      <x:c r="K6" s="52"/>
      <x:c r="L6" s="52"/>
      <x:c r="M6" s="52"/>
      <x:c r="N6" s="52"/>
      <x:c r="O6" s="52"/>
      <x:c r="P6" s="18" t="str">
        <x:v>C inventory</x:v>
      </x:c>
      <x:c r="Q6" s="18" t="str">
        <x:v>http://cra.ca/wp-content/uploads/2011/03/11-1-NB-Press-Release.pdf</x:v>
      </x:c>
      <x:c r="R6" s="18"/>
      <x:c r="S6" s="18" t="str">
        <x:v>https://en.wikipedia.org/wiki/2014_New_Brunswick_general_election</x:v>
      </x:c>
      <x:c r="T6" s="18"/>
      <x:c r="U6" s="18"/>
      <x:c r="V6" s="29" t="str">
        <x:v>Completeness inventory extracted from linked election poll table. Use only rows separately upgraded to A/B in the core model.</x:v>
      </x:c>
    </x:row>
    <x:row r="7">
      <x:c r="A7" s="18" t="str">
        <x:v>alward-2011-05-31-19</x:v>
      </x:c>
      <x:c r="B7" s="18" t="str">
        <x:v>Alward</x:v>
      </x:c>
      <x:c r="C7" s="18" t="str">
        <x:v>David Alward</x:v>
      </x:c>
      <x:c r="D7" s="18" t="str">
        <x:v>Corporate Research Associates</x:v>
      </x:c>
      <x:c r="E7" s="21" t="n">
        <x:v>40694.416666666664</x:v>
      </x:c>
      <x:c r="F7" s="29" t="str">
        <x:v>Reported party shares; denominator/methodology not verified in index</x:v>
      </x:c>
      <x:c r="G7" s="52" t="n">
        <x:v>20</x:v>
      </x:c>
      <x:c r="H7" s="52" t="n">
        <x:v>56</x:v>
      </x:c>
      <x:c r="I7" s="52" t="n">
        <x:v>1</x:v>
      </x:c>
      <x:c r="J7" s="52" t="n">
        <x:v>20</x:v>
      </x:c>
      <x:c r="K7" s="52" t="n">
        <x:v>3</x:v>
      </x:c>
      <x:c r="L7" s="52"/>
      <x:c r="M7" s="52"/>
      <x:c r="N7" s="52"/>
      <x:c r="O7" s="52"/>
      <x:c r="P7" s="18" t="str">
        <x:v>C inventory</x:v>
      </x:c>
      <x:c r="Q7" s="18" t="str">
        <x:v>http://cra.ca/wp-content/uploads/2011/07/11-2-NB-Press-Release.pdf</x:v>
      </x:c>
      <x:c r="R7" s="18"/>
      <x:c r="S7" s="18" t="str">
        <x:v>https://en.wikipedia.org/wiki/2014_New_Brunswick_general_election</x:v>
      </x:c>
      <x:c r="T7" s="18"/>
      <x:c r="U7" s="18"/>
      <x:c r="V7" s="29" t="str">
        <x:v>Completeness inventory extracted from linked election poll table. Use only rows separately upgraded to A/B in the core model.</x:v>
      </x:c>
    </x:row>
    <x:row r="8">
      <x:c r="A8" s="18" t="str">
        <x:v>alward-2011-08-31-18</x:v>
      </x:c>
      <x:c r="B8" s="18" t="str">
        <x:v>Alward</x:v>
      </x:c>
      <x:c r="C8" s="18" t="str">
        <x:v>David Alward</x:v>
      </x:c>
      <x:c r="D8" s="18" t="str">
        <x:v>Corporate Research Associates</x:v>
      </x:c>
      <x:c r="E8" s="21" t="n">
        <x:v>40786.416666666664</x:v>
      </x:c>
      <x:c r="F8" s="29" t="str">
        <x:v>Reported party shares; denominator/methodology not verified in index</x:v>
      </x:c>
      <x:c r="G8" s="52" t="n">
        <x:v>34</x:v>
      </x:c>
      <x:c r="H8" s="52" t="n">
        <x:v>41</x:v>
      </x:c>
      <x:c r="I8" s="52"/>
      <x:c r="J8" s="52" t="n">
        <x:v>23</x:v>
      </x:c>
      <x:c r="K8" s="52" t="n">
        <x:v>2</x:v>
      </x:c>
      <x:c r="L8" s="52"/>
      <x:c r="M8" s="52"/>
      <x:c r="N8" s="52"/>
      <x:c r="O8" s="52"/>
      <x:c r="P8" s="18" t="str">
        <x:v>C inventory</x:v>
      </x:c>
      <x:c r="Q8" s="18" t="str">
        <x:v>http://cra.ca/wp-content/uploads/2011/09/11-3-CRA-NB-Press-Release.pdf</x:v>
      </x:c>
      <x:c r="R8" s="18"/>
      <x:c r="S8" s="18" t="str">
        <x:v>https://en.wikipedia.org/wiki/2014_New_Brunswick_general_election</x:v>
      </x:c>
      <x:c r="T8" s="18"/>
      <x:c r="U8" s="18"/>
      <x:c r="V8" s="29" t="str">
        <x:v>Completeness inventory extracted from linked election poll table. Use only rows separately upgraded to A/B in the core model.</x:v>
      </x:c>
    </x:row>
    <x:row r="9">
      <x:c r="A9" s="18" t="str">
        <x:v>alward-2011-11-29-17</x:v>
      </x:c>
      <x:c r="B9" s="18" t="str">
        <x:v>Alward</x:v>
      </x:c>
      <x:c r="C9" s="18" t="str">
        <x:v>David Alward</x:v>
      </x:c>
      <x:c r="D9" s="18" t="str">
        <x:v>Corporate Research Associates</x:v>
      </x:c>
      <x:c r="E9" s="21" t="n">
        <x:v>40876.458333333336</x:v>
      </x:c>
      <x:c r="F9" s="29" t="str">
        <x:v>Reported party shares; denominator/methodology not verified in index</x:v>
      </x:c>
      <x:c r="G9" s="52" t="n">
        <x:v>28</x:v>
      </x:c>
      <x:c r="H9" s="52" t="n">
        <x:v>45</x:v>
      </x:c>
      <x:c r="I9" s="52" t="n">
        <x:v>3</x:v>
      </x:c>
      <x:c r="J9" s="52" t="n">
        <x:v>23</x:v>
      </x:c>
      <x:c r="K9" s="52" t="n">
        <x:v>1</x:v>
      </x:c>
      <x:c r="L9" s="52"/>
      <x:c r="M9" s="52"/>
      <x:c r="N9" s="52"/>
      <x:c r="O9" s="52"/>
      <x:c r="P9" s="18" t="str">
        <x:v>C inventory</x:v>
      </x:c>
      <x:c r="Q9" s="18" t="str">
        <x:v>http://cra.ca/wp-content/uploads/2011/12/11-4-CRA-NB-Press-Release.pdf</x:v>
      </x:c>
      <x:c r="R9" s="18"/>
      <x:c r="S9" s="18" t="str">
        <x:v>https://en.wikipedia.org/wiki/2014_New_Brunswick_general_election</x:v>
      </x:c>
      <x:c r="T9" s="18"/>
      <x:c r="U9" s="18"/>
      <x:c r="V9" s="29" t="str">
        <x:v>Completeness inventory extracted from linked election poll table. Use only rows separately upgraded to A/B in the core model.</x:v>
      </x:c>
    </x:row>
    <x:row r="10">
      <x:c r="A10" s="18" t="str">
        <x:v>alward-2012-02-29-16</x:v>
      </x:c>
      <x:c r="B10" s="18" t="str">
        <x:v>Alward</x:v>
      </x:c>
      <x:c r="C10" s="18" t="str">
        <x:v>David Alward</x:v>
      </x:c>
      <x:c r="D10" s="18" t="str">
        <x:v>Corporate Research Associates</x:v>
      </x:c>
      <x:c r="E10" s="21" t="n">
        <x:v>40968.458333333336</x:v>
      </x:c>
      <x:c r="F10" s="29" t="str">
        <x:v>Reported party shares; denominator/methodology not verified in index</x:v>
      </x:c>
      <x:c r="G10" s="52" t="n">
        <x:v>31</x:v>
      </x:c>
      <x:c r="H10" s="52" t="n">
        <x:v>45</x:v>
      </x:c>
      <x:c r="I10" s="52" t="n">
        <x:v>3</x:v>
      </x:c>
      <x:c r="J10" s="52" t="n">
        <x:v>22</x:v>
      </x:c>
      <x:c r="K10" s="52"/>
      <x:c r="L10" s="52"/>
      <x:c r="M10" s="52"/>
      <x:c r="N10" s="52"/>
      <x:c r="O10" s="52"/>
      <x:c r="P10" s="18" t="str">
        <x:v>C inventory</x:v>
      </x:c>
      <x:c r="Q10" s="18" t="str">
        <x:v>http://cra.ca/wp-content/uploads/2012/03/12-1-NB-dorwe4.pdf</x:v>
      </x:c>
      <x:c r="R10" s="18"/>
      <x:c r="S10" s="18" t="str">
        <x:v>https://en.wikipedia.org/wiki/2014_New_Brunswick_general_election</x:v>
      </x:c>
      <x:c r="T10" s="18"/>
      <x:c r="U10" s="18"/>
      <x:c r="V10" s="29" t="str">
        <x:v>Completeness inventory extracted from linked election poll table. Use only rows separately upgraded to A/B in the core model.</x:v>
      </x:c>
    </x:row>
    <x:row r="11">
      <x:c r="A11" s="18" t="str">
        <x:v>alward-2012-05-30-15</x:v>
      </x:c>
      <x:c r="B11" s="18" t="str">
        <x:v>Alward</x:v>
      </x:c>
      <x:c r="C11" s="18" t="str">
        <x:v>David Alward</x:v>
      </x:c>
      <x:c r="D11" s="18" t="str">
        <x:v>Corporate Research Associates</x:v>
      </x:c>
      <x:c r="E11" s="21" t="n">
        <x:v>41059.416666666664</x:v>
      </x:c>
      <x:c r="F11" s="29" t="str">
        <x:v>Reported party shares; denominator/methodology not verified in index</x:v>
      </x:c>
      <x:c r="G11" s="52" t="n">
        <x:v>32</x:v>
      </x:c>
      <x:c r="H11" s="52" t="n">
        <x:v>44</x:v>
      </x:c>
      <x:c r="I11" s="52" t="n">
        <x:v>5</x:v>
      </x:c>
      <x:c r="J11" s="52" t="n">
        <x:v>19</x:v>
      </x:c>
      <x:c r="K11" s="52"/>
      <x:c r="L11" s="52"/>
      <x:c r="M11" s="52"/>
      <x:c r="N11" s="52"/>
      <x:c r="O11" s="52"/>
      <x:c r="P11" s="18" t="str">
        <x:v>C inventory</x:v>
      </x:c>
      <x:c r="Q11" s="18" t="str">
        <x:v>http://cra.ca/wp-content/uploads/2012/06/12-2-NB-Media-Release.pdf</x:v>
      </x:c>
      <x:c r="R11" s="18"/>
      <x:c r="S11" s="18" t="str">
        <x:v>https://en.wikipedia.org/wiki/2014_New_Brunswick_general_election</x:v>
      </x:c>
      <x:c r="T11" s="18"/>
      <x:c r="U11" s="18"/>
      <x:c r="V11" s="29" t="str">
        <x:v>Completeness inventory extracted from linked election poll table. Use only rows separately upgraded to A/B in the core model.</x:v>
      </x:c>
    </x:row>
    <x:row r="12">
      <x:c r="A12" s="18" t="str">
        <x:v>alward-2012-08-31-14</x:v>
      </x:c>
      <x:c r="B12" s="18" t="str">
        <x:v>Alward</x:v>
      </x:c>
      <x:c r="C12" s="18" t="str">
        <x:v>David Alward</x:v>
      </x:c>
      <x:c r="D12" s="18" t="str">
        <x:v>Corporate Research Associates</x:v>
      </x:c>
      <x:c r="E12" s="21" t="n">
        <x:v>41152.416666666664</x:v>
      </x:c>
      <x:c r="F12" s="29" t="str">
        <x:v>Reported party shares; denominator/methodology not verified in index</x:v>
      </x:c>
      <x:c r="G12" s="52" t="n">
        <x:v>32</x:v>
      </x:c>
      <x:c r="H12" s="52" t="n">
        <x:v>38</x:v>
      </x:c>
      <x:c r="I12" s="52" t="n">
        <x:v>6</x:v>
      </x:c>
      <x:c r="J12" s="52" t="n">
        <x:v>24</x:v>
      </x:c>
      <x:c r="K12" s="52"/>
      <x:c r="L12" s="52"/>
      <x:c r="M12" s="52"/>
      <x:c r="N12" s="52"/>
      <x:c r="O12" s="52"/>
      <x:c r="P12" s="18" t="str">
        <x:v>C inventory</x:v>
      </x:c>
      <x:c r="Q12" s="18" t="str">
        <x:v>http://cra.ca/wp-content/uploads/2012/09/12-3-NB-Media-Release.pdf</x:v>
      </x:c>
      <x:c r="R12" s="18"/>
      <x:c r="S12" s="18" t="str">
        <x:v>https://en.wikipedia.org/wiki/2014_New_Brunswick_general_election</x:v>
      </x:c>
      <x:c r="T12" s="18"/>
      <x:c r="U12" s="18"/>
      <x:c r="V12" s="29" t="str">
        <x:v>Completeness inventory extracted from linked election poll table. Use only rows separately upgraded to A/B in the core model.</x:v>
      </x:c>
    </x:row>
    <x:row r="13">
      <x:c r="A13" s="18" t="str">
        <x:v>alward-2012-12-01-13</x:v>
      </x:c>
      <x:c r="B13" s="18" t="str">
        <x:v>Alward</x:v>
      </x:c>
      <x:c r="C13" s="18" t="str">
        <x:v>David Alward</x:v>
      </x:c>
      <x:c r="D13" s="18" t="str">
        <x:v>Corporate Research Associates</x:v>
      </x:c>
      <x:c r="E13" s="21" t="n">
        <x:v>41244.458333333336</x:v>
      </x:c>
      <x:c r="F13" s="29" t="str">
        <x:v>Reported party shares; denominator/methodology not verified in index</x:v>
      </x:c>
      <x:c r="G13" s="52" t="n">
        <x:v>38</x:v>
      </x:c>
      <x:c r="H13" s="52" t="n">
        <x:v>38</x:v>
      </x:c>
      <x:c r="I13" s="52" t="n">
        <x:v>4</x:v>
      </x:c>
      <x:c r="J13" s="52" t="n">
        <x:v>19</x:v>
      </x:c>
      <x:c r="K13" s="52" t="n">
        <x:v>1</x:v>
      </x:c>
      <x:c r="L13" s="52"/>
      <x:c r="M13" s="52"/>
      <x:c r="N13" s="52"/>
      <x:c r="O13" s="52"/>
      <x:c r="P13" s="18" t="str">
        <x:v>C inventory</x:v>
      </x:c>
      <x:c r="Q13" s="18" t="str">
        <x:v>http://cra.ca/wp-content/uploads/2012/12/12-4-NB-Press-Release.pdf</x:v>
      </x:c>
      <x:c r="R13" s="18"/>
      <x:c r="S13" s="18" t="str">
        <x:v>https://en.wikipedia.org/wiki/2014_New_Brunswick_general_election</x:v>
      </x:c>
      <x:c r="T13" s="18"/>
      <x:c r="U13" s="18"/>
      <x:c r="V13" s="29" t="str">
        <x:v>Completeness inventory extracted from linked election poll table. Use only rows separately upgraded to A/B in the core model.</x:v>
      </x:c>
    </x:row>
    <x:row r="14">
      <x:c r="A14" s="18" t="str">
        <x:v>alward-2013-03-08-12</x:v>
      </x:c>
      <x:c r="B14" s="18" t="str">
        <x:v>Alward</x:v>
      </x:c>
      <x:c r="C14" s="18" t="str">
        <x:v>David Alward</x:v>
      </x:c>
      <x:c r="D14" s="18" t="str">
        <x:v>Corporate Research Associates</x:v>
      </x:c>
      <x:c r="E14" s="21" t="n">
        <x:v>41341.458333333336</x:v>
      </x:c>
      <x:c r="F14" s="29" t="str">
        <x:v>Reported party shares; denominator/methodology not verified in index</x:v>
      </x:c>
      <x:c r="G14" s="52" t="n">
        <x:v>35</x:v>
      </x:c>
      <x:c r="H14" s="52" t="n">
        <x:v>32</x:v>
      </x:c>
      <x:c r="I14" s="52" t="n">
        <x:v>5</x:v>
      </x:c>
      <x:c r="J14" s="52" t="n">
        <x:v>26</x:v>
      </x:c>
      <x:c r="K14" s="52"/>
      <x:c r="L14" s="52"/>
      <x:c r="M14" s="52"/>
      <x:c r="N14" s="52"/>
      <x:c r="O14" s="52"/>
      <x:c r="P14" s="18" t="str">
        <x:v>C inventory</x:v>
      </x:c>
      <x:c r="Q14" s="18" t="str">
        <x:v>http://cra.ca/wp-content/uploads/2013/03/13-1-NB-Press-Release.pdf</x:v>
      </x:c>
      <x:c r="R14" s="18" t="str">
        <x:v>https://web.archive.org/web/20130403101320/http://cra.ca/wp-content/uploads/2013/03/13-1-NB-Press-Release.pdf</x:v>
      </x:c>
      <x:c r="S14" s="18" t="str">
        <x:v>https://en.wikipedia.org/wiki/2014_New_Brunswick_general_election</x:v>
      </x:c>
      <x:c r="T14" s="18"/>
      <x:c r="U14" s="18"/>
      <x:c r="V14" s="29" t="str">
        <x:v>Completeness inventory extracted from linked election poll table. Use only rows separately upgraded to A/B in the core model.</x:v>
      </x:c>
    </x:row>
    <x:row r="15">
      <x:c r="A15" s="18" t="str">
        <x:v>alward-2013-05-30-11</x:v>
      </x:c>
      <x:c r="B15" s="18" t="str">
        <x:v>Alward</x:v>
      </x:c>
      <x:c r="C15" s="18" t="str">
        <x:v>David Alward</x:v>
      </x:c>
      <x:c r="D15" s="18" t="str">
        <x:v>Corporate Research Associates</x:v>
      </x:c>
      <x:c r="E15" s="21" t="n">
        <x:v>41424.416666666664</x:v>
      </x:c>
      <x:c r="F15" s="29" t="str">
        <x:v>Reported party shares; denominator/methodology not verified in index</x:v>
      </x:c>
      <x:c r="G15" s="52" t="n">
        <x:v>41</x:v>
      </x:c>
      <x:c r="H15" s="52" t="n">
        <x:v>29</x:v>
      </x:c>
      <x:c r="I15" s="52" t="n">
        <x:v>3</x:v>
      </x:c>
      <x:c r="J15" s="52" t="n">
        <x:v>27</x:v>
      </x:c>
      <x:c r="K15" s="52" t="n">
        <x:v>1</x:v>
      </x:c>
      <x:c r="L15" s="52"/>
      <x:c r="M15" s="52"/>
      <x:c r="N15" s="52"/>
      <x:c r="O15" s="52"/>
      <x:c r="P15" s="18" t="str">
        <x:v>C inventory</x:v>
      </x:c>
      <x:c r="Q15" s="18" t="str">
        <x:v>http://cra.ca/wp-content/uploads/2013/06/13-2-NB-Press-Release1.pdf</x:v>
      </x:c>
      <x:c r="R15" s="18"/>
      <x:c r="S15" s="18" t="str">
        <x:v>https://en.wikipedia.org/wiki/2014_New_Brunswick_general_election</x:v>
      </x:c>
      <x:c r="T15" s="18"/>
      <x:c r="U15" s="18"/>
      <x:c r="V15" s="29" t="str">
        <x:v>Completeness inventory extracted from linked election poll table. Use only rows separately upgraded to A/B in the core model.</x:v>
      </x:c>
    </x:row>
    <x:row r="16">
      <x:c r="A16" s="18" t="str">
        <x:v>alward-2013-09-01-10</x:v>
      </x:c>
      <x:c r="B16" s="18" t="str">
        <x:v>Alward</x:v>
      </x:c>
      <x:c r="C16" s="18" t="str">
        <x:v>David Alward</x:v>
      </x:c>
      <x:c r="D16" s="18" t="str">
        <x:v>Corporate Research Associates</x:v>
      </x:c>
      <x:c r="E16" s="21" t="n">
        <x:v>41518.416666666664</x:v>
      </x:c>
      <x:c r="F16" s="29" t="str">
        <x:v>Reported party shares; denominator/methodology not verified in index</x:v>
      </x:c>
      <x:c r="G16" s="52" t="n">
        <x:v>47</x:v>
      </x:c>
      <x:c r="H16" s="52" t="n">
        <x:v>23</x:v>
      </x:c>
      <x:c r="I16" s="52" t="n">
        <x:v>4</x:v>
      </x:c>
      <x:c r="J16" s="52" t="n">
        <x:v>24</x:v>
      </x:c>
      <x:c r="K16" s="52" t="n">
        <x:v>3</x:v>
      </x:c>
      <x:c r="L16" s="52"/>
      <x:c r="M16" s="52"/>
      <x:c r="N16" s="52"/>
      <x:c r="O16" s="52"/>
      <x:c r="P16" s="18" t="str">
        <x:v>C inventory</x:v>
      </x:c>
      <x:c r="Q16" s="18" t="str">
        <x:v>http://cra.ca/wp-content/uploads/2013/09/13-3-NB-Press-Release.pdf</x:v>
      </x:c>
      <x:c r="R16" s="18"/>
      <x:c r="S16" s="18" t="str">
        <x:v>https://en.wikipedia.org/wiki/2014_New_Brunswick_general_election</x:v>
      </x:c>
      <x:c r="T16" s="18"/>
      <x:c r="U16" s="18"/>
      <x:c r="V16" s="29" t="str">
        <x:v>Completeness inventory extracted from linked election poll table. Use only rows separately upgraded to A/B in the core model.</x:v>
      </x:c>
    </x:row>
    <x:row r="17">
      <x:c r="A17" s="18" t="str">
        <x:v>alward-2013-11-28-09</x:v>
      </x:c>
      <x:c r="B17" s="18" t="str">
        <x:v>Alward</x:v>
      </x:c>
      <x:c r="C17" s="18" t="str">
        <x:v>David Alward</x:v>
      </x:c>
      <x:c r="D17" s="18" t="str">
        <x:v>Corporate Research Associates</x:v>
      </x:c>
      <x:c r="E17" s="21" t="n">
        <x:v>41606.458333333336</x:v>
      </x:c>
      <x:c r="F17" s="29" t="str">
        <x:v>Reported party shares; denominator/methodology not verified in index</x:v>
      </x:c>
      <x:c r="G17" s="52" t="n">
        <x:v>47</x:v>
      </x:c>
      <x:c r="H17" s="52" t="n">
        <x:v>25</x:v>
      </x:c>
      <x:c r="I17" s="52" t="n">
        <x:v>4</x:v>
      </x:c>
      <x:c r="J17" s="52" t="n">
        <x:v>24</x:v>
      </x:c>
      <x:c r="K17" s="52"/>
      <x:c r="L17" s="52"/>
      <x:c r="M17" s="52"/>
      <x:c r="N17" s="52"/>
      <x:c r="O17" s="52"/>
      <x:c r="P17" s="18" t="str">
        <x:v>C inventory</x:v>
      </x:c>
      <x:c r="Q17" s="18" t="str">
        <x:v>https://cra.ca/nb-liberals-maintain-lead-in-voter-intentions/</x:v>
      </x:c>
      <x:c r="R17" s="18"/>
      <x:c r="S17" s="18" t="str">
        <x:v>https://en.wikipedia.org/wiki/2014_New_Brunswick_general_election</x:v>
      </x:c>
      <x:c r="T17" s="18"/>
      <x:c r="U17" s="18"/>
      <x:c r="V17" s="29" t="str">
        <x:v>Completeness inventory extracted from linked election poll table. Use only rows separately upgraded to A/B in the core model.</x:v>
      </x:c>
    </x:row>
    <x:row r="18">
      <x:c r="A18" s="18" t="str">
        <x:v>alward-2014-02-28-08</x:v>
      </x:c>
      <x:c r="B18" s="18" t="str">
        <x:v>Alward</x:v>
      </x:c>
      <x:c r="C18" s="18" t="str">
        <x:v>David Alward</x:v>
      </x:c>
      <x:c r="D18" s="18" t="str">
        <x:v>Corporate Research Associates</x:v>
      </x:c>
      <x:c r="E18" s="21" t="n">
        <x:v>41698.458333333336</x:v>
      </x:c>
      <x:c r="F18" s="29" t="str">
        <x:v>Reported party shares; denominator/methodology not verified in index</x:v>
      </x:c>
      <x:c r="G18" s="52" t="n">
        <x:v>43</x:v>
      </x:c>
      <x:c r="H18" s="52" t="n">
        <x:v>31</x:v>
      </x:c>
      <x:c r="I18" s="52" t="n">
        <x:v>4</x:v>
      </x:c>
      <x:c r="J18" s="52" t="n">
        <x:v>21</x:v>
      </x:c>
      <x:c r="K18" s="52"/>
      <x:c r="L18" s="52"/>
      <x:c r="M18" s="52"/>
      <x:c r="N18" s="52"/>
      <x:c r="O18" s="52"/>
      <x:c r="P18" s="18" t="str">
        <x:v>C inventory</x:v>
      </x:c>
      <x:c r="Q18" s="18" t="str">
        <x:v>http://cra.ca/wp-content/uploads/2014/03/14-1-NB-Press-Release.pdf</x:v>
      </x:c>
      <x:c r="R18" s="18"/>
      <x:c r="S18" s="18" t="str">
        <x:v>https://en.wikipedia.org/wiki/2014_New_Brunswick_general_election</x:v>
      </x:c>
      <x:c r="T18" s="18"/>
      <x:c r="U18" s="18"/>
      <x:c r="V18" s="29" t="str">
        <x:v>Completeness inventory extracted from linked election poll table. Use only rows separately upgraded to A/B in the core model.</x:v>
      </x:c>
    </x:row>
    <x:row r="19">
      <x:c r="A19" s="18" t="str">
        <x:v>alward-2014-05-31-07</x:v>
      </x:c>
      <x:c r="B19" s="18" t="str">
        <x:v>Alward</x:v>
      </x:c>
      <x:c r="C19" s="18" t="str">
        <x:v>David Alward</x:v>
      </x:c>
      <x:c r="D19" s="18" t="str">
        <x:v>Corporate Research Associates</x:v>
      </x:c>
      <x:c r="E19" s="21" t="n">
        <x:v>41790.416666666664</x:v>
      </x:c>
      <x:c r="F19" s="29" t="str">
        <x:v>Reported party shares; denominator/methodology not verified in index</x:v>
      </x:c>
      <x:c r="G19" s="52" t="n">
        <x:v>53</x:v>
      </x:c>
      <x:c r="H19" s="52" t="n">
        <x:v>28</x:v>
      </x:c>
      <x:c r="I19" s="52" t="n">
        <x:v>3</x:v>
      </x:c>
      <x:c r="J19" s="52" t="n">
        <x:v>16</x:v>
      </x:c>
      <x:c r="K19" s="52"/>
      <x:c r="L19" s="52"/>
      <x:c r="M19" s="52"/>
      <x:c r="N19" s="52"/>
      <x:c r="O19" s="52"/>
      <x:c r="P19" s="18" t="str">
        <x:v>C inventory</x:v>
      </x:c>
      <x:c r="Q19" s="18" t="str">
        <x:v>https://cra.ca/nb-liberals-widen-lead-in-voter-intentions-2/</x:v>
      </x:c>
      <x:c r="R19" s="18"/>
      <x:c r="S19" s="18" t="str">
        <x:v>https://en.wikipedia.org/wiki/2014_New_Brunswick_general_election</x:v>
      </x:c>
      <x:c r="T19" s="18"/>
      <x:c r="U19" s="18"/>
      <x:c r="V19" s="29" t="str">
        <x:v>Completeness inventory extracted from linked election poll table. Use only rows separately upgraded to A/B in the core model.</x:v>
      </x:c>
    </x:row>
    <x:row r="20">
      <x:c r="A20" s="18" t="str">
        <x:v>alward-2014-08-21-06</x:v>
      </x:c>
      <x:c r="B20" s="18" t="str">
        <x:v>Alward</x:v>
      </x:c>
      <x:c r="C20" s="18" t="str">
        <x:v>David Alward</x:v>
      </x:c>
      <x:c r="D20" s="18" t="str">
        <x:v>Nordic Research Group</x:v>
      </x:c>
      <x:c r="E20" s="21" t="n">
        <x:v>41872.416666666664</x:v>
      </x:c>
      <x:c r="F20" s="29" t="str">
        <x:v>Reported party shares; denominator/methodology not verified in index</x:v>
      </x:c>
      <x:c r="G20" s="52" t="n">
        <x:v>34</x:v>
      </x:c>
      <x:c r="H20" s="52" t="n">
        <x:v>26</x:v>
      </x:c>
      <x:c r="I20" s="52" t="n">
        <x:v>5</x:v>
      </x:c>
      <x:c r="J20" s="52" t="n">
        <x:v>13</x:v>
      </x:c>
      <x:c r="K20" s="52"/>
      <x:c r="L20" s="52"/>
      <x:c r="M20" s="52"/>
      <x:c r="N20" s="52"/>
      <x:c r="O20" s="52"/>
      <x:c r="P20" s="18" t="str">
        <x:v>C inventory</x:v>
      </x:c>
      <x:c r="Q20" s="18"/>
      <x:c r="R20" s="18" t="str">
        <x:v>https://web.archive.org/web/20150903212746/http://blogs.canoe.com/davidakin/politics/leaked-new-brunswick-pc-internal-poll-all-the-details-here/</x:v>
      </x:c>
      <x:c r="S20" s="18" t="str">
        <x:v>https://en.wikipedia.org/wiki/2014_New_Brunswick_general_election</x:v>
      </x:c>
      <x:c r="T20" s="18"/>
      <x:c r="U20" s="18"/>
      <x:c r="V20" s="29" t="str">
        <x:v>Completeness inventory extracted from linked election poll table. Use only rows separately upgraded to A/B in the core model.</x:v>
      </x:c>
    </x:row>
    <x:row r="21">
      <x:c r="A21" s="18" t="str">
        <x:v>alward-2014-08-25-05</x:v>
      </x:c>
      <x:c r="B21" s="18" t="str">
        <x:v>Alward</x:v>
      </x:c>
      <x:c r="C21" s="18" t="str">
        <x:v>David Alward</x:v>
      </x:c>
      <x:c r="D21" s="18" t="str">
        <x:v>Forum Research</x:v>
      </x:c>
      <x:c r="E21" s="21" t="n">
        <x:v>41876.416666666664</x:v>
      </x:c>
      <x:c r="F21" s="29" t="str">
        <x:v>Reported party shares; denominator/methodology not verified in index</x:v>
      </x:c>
      <x:c r="G21" s="52" t="n">
        <x:v>46</x:v>
      </x:c>
      <x:c r="H21" s="52" t="n">
        <x:v>31</x:v>
      </x:c>
      <x:c r="I21" s="52" t="n">
        <x:v>7</x:v>
      </x:c>
      <x:c r="J21" s="52" t="n">
        <x:v>15</x:v>
      </x:c>
      <x:c r="K21" s="52"/>
      <x:c r="L21" s="52"/>
      <x:c r="M21" s="52"/>
      <x:c r="N21" s="52"/>
      <x:c r="O21" s="52"/>
      <x:c r="P21" s="18" t="str">
        <x:v>C inventory</x:v>
      </x:c>
      <x:c r="Q21" s="18" t="str">
        <x:v>http://torontosun.com/2014/08/30/liberals-hold-big-lead-in-new-brunswick-election-poll/wcm/4c6cad0a-4d82-4098-a6d5-89fdaa07ace6</x:v>
      </x:c>
      <x:c r="R21" s="18"/>
      <x:c r="S21" s="18" t="str">
        <x:v>https://en.wikipedia.org/wiki/2014_New_Brunswick_general_election</x:v>
      </x:c>
      <x:c r="T21" s="18"/>
      <x:c r="U21" s="18"/>
      <x:c r="V21" s="29" t="str">
        <x:v>Completeness inventory extracted from linked election poll table. Use only rows separately upgraded to A/B in the core model.</x:v>
      </x:c>
    </x:row>
    <x:row r="22">
      <x:c r="A22" s="18" t="str">
        <x:v>alward-2014-08-31-04</x:v>
      </x:c>
      <x:c r="B22" s="18" t="str">
        <x:v>Alward</x:v>
      </x:c>
      <x:c r="C22" s="18" t="str">
        <x:v>David Alward</x:v>
      </x:c>
      <x:c r="D22" s="18" t="str">
        <x:v>Corporate Research Associates</x:v>
      </x:c>
      <x:c r="E22" s="21" t="n">
        <x:v>41882.416666666664</x:v>
      </x:c>
      <x:c r="F22" s="29" t="str">
        <x:v>Reported party shares; denominator/methodology not verified in index</x:v>
      </x:c>
      <x:c r="G22" s="52" t="n">
        <x:v>48</x:v>
      </x:c>
      <x:c r="H22" s="52" t="n">
        <x:v>28</x:v>
      </x:c>
      <x:c r="I22" s="52" t="n">
        <x:v>4</x:v>
      </x:c>
      <x:c r="J22" s="52" t="n">
        <x:v>17</x:v>
      </x:c>
      <x:c r="K22" s="52" t="n">
        <x:v>2</x:v>
      </x:c>
      <x:c r="L22" s="52"/>
      <x:c r="M22" s="52"/>
      <x:c r="N22" s="52"/>
      <x:c r="O22" s="52"/>
      <x:c r="P22" s="18" t="str">
        <x:v>C inventory</x:v>
      </x:c>
      <x:c r="Q22" s="18" t="str">
        <x:v>https://cra.ca/nb-liberals-still-well-ahead-in-voter-intentions-although-gap-narrows/</x:v>
      </x:c>
      <x:c r="R22" s="18"/>
      <x:c r="S22" s="18" t="str">
        <x:v>https://en.wikipedia.org/wiki/2014_New_Brunswick_general_election</x:v>
      </x:c>
      <x:c r="T22" s="18"/>
      <x:c r="U22" s="18"/>
      <x:c r="V22" s="29" t="str">
        <x:v>Completeness inventory extracted from linked election poll table. Use only rows separately upgraded to A/B in the core model.</x:v>
      </x:c>
    </x:row>
    <x:row r="23">
      <x:c r="A23" s="18" t="str">
        <x:v>alward-2014-09-11-03</x:v>
      </x:c>
      <x:c r="B23" s="18" t="str">
        <x:v>Alward</x:v>
      </x:c>
      <x:c r="C23" s="18" t="str">
        <x:v>David Alward</x:v>
      </x:c>
      <x:c r="D23" s="18" t="str">
        <x:v>Forum Research</x:v>
      </x:c>
      <x:c r="E23" s="21" t="n">
        <x:v>41893.416666666664</x:v>
      </x:c>
      <x:c r="F23" s="29" t="str">
        <x:v>Reported party shares; denominator/methodology not verified in index</x:v>
      </x:c>
      <x:c r="G23" s="52" t="n">
        <x:v>42</x:v>
      </x:c>
      <x:c r="H23" s="52" t="n">
        <x:v>32</x:v>
      </x:c>
      <x:c r="I23" s="52" t="n">
        <x:v>6</x:v>
      </x:c>
      <x:c r="J23" s="52" t="n">
        <x:v>13</x:v>
      </x:c>
      <x:c r="K23" s="52"/>
      <x:c r="L23" s="52"/>
      <x:c r="M23" s="52"/>
      <x:c r="N23" s="52"/>
      <x:c r="O23" s="52"/>
      <x:c r="P23" s="18" t="str">
        <x:v>C inventory</x:v>
      </x:c>
      <x:c r="Q23" s="18" t="str">
        <x:v>http://poll.forumresearch.com/data/NB%20Election%20News%20Release%20%282014%2009%2011%29%20Forum%20Research.pdf</x:v>
      </x:c>
      <x:c r="R23" s="18"/>
      <x:c r="S23" s="18" t="str">
        <x:v>https://en.wikipedia.org/wiki/2014_New_Brunswick_general_election</x:v>
      </x:c>
      <x:c r="T23" s="18"/>
      <x:c r="U23" s="18"/>
      <x:c r="V23" s="29" t="str">
        <x:v>Completeness inventory extracted from linked election poll table. Use only rows separately upgraded to A/B in the core model.</x:v>
      </x:c>
    </x:row>
    <x:row r="24">
      <x:c r="A24" s="18" t="str">
        <x:v>alward-2014-09-18-02</x:v>
      </x:c>
      <x:c r="B24" s="18" t="str">
        <x:v>Alward</x:v>
      </x:c>
      <x:c r="C24" s="18" t="str">
        <x:v>David Alward</x:v>
      </x:c>
      <x:c r="D24" s="18" t="str">
        <x:v>Corporate Research Associates</x:v>
      </x:c>
      <x:c r="E24" s="21" t="n">
        <x:v>41900.416666666664</x:v>
      </x:c>
      <x:c r="F24" s="29" t="str">
        <x:v>Reported party shares; denominator/methodology not verified in index</x:v>
      </x:c>
      <x:c r="G24" s="52" t="n">
        <x:v>45</x:v>
      </x:c>
      <x:c r="H24" s="52" t="n">
        <x:v>36</x:v>
      </x:c>
      <x:c r="I24" s="52" t="n">
        <x:v>6</x:v>
      </x:c>
      <x:c r="J24" s="52" t="n">
        <x:v>11</x:v>
      </x:c>
      <x:c r="K24" s="52" t="n">
        <x:v>2</x:v>
      </x:c>
      <x:c r="L24" s="52"/>
      <x:c r="M24" s="52"/>
      <x:c r="N24" s="52"/>
      <x:c r="O24" s="52"/>
      <x:c r="P24" s="18" t="str">
        <x:v>C inventory</x:v>
      </x:c>
      <x:c r="Q24" s="18" t="str">
        <x:v>http://www.cbc.ca/news/canada/new-brunswick/new-brunswick-votes-2014/liberal-lead-shrinks-as-tories-gain-cra-poll-says-1.2771615</x:v>
      </x:c>
      <x:c r="R24" s="18"/>
      <x:c r="S24" s="18" t="str">
        <x:v>https://en.wikipedia.org/wiki/2014_New_Brunswick_general_election</x:v>
      </x:c>
      <x:c r="T24" s="18"/>
      <x:c r="U24" s="18"/>
      <x:c r="V24" s="29" t="str">
        <x:v>Completeness inventory extracted from linked election poll table. Use only rows separately upgraded to A/B in the core model.</x:v>
      </x:c>
    </x:row>
    <x:row r="25">
      <x:c r="A25" s="18" t="str">
        <x:v>alward-2014-09-21-01</x:v>
      </x:c>
      <x:c r="B25" s="18" t="str">
        <x:v>Alward</x:v>
      </x:c>
      <x:c r="C25" s="18" t="str">
        <x:v>David Alward</x:v>
      </x:c>
      <x:c r="D25" s="18" t="str">
        <x:v>Forum Research</x:v>
      </x:c>
      <x:c r="E25" s="21" t="n">
        <x:v>41903.416666666664</x:v>
      </x:c>
      <x:c r="F25" s="29" t="str">
        <x:v>Reported party shares; denominator/methodology not verified in index</x:v>
      </x:c>
      <x:c r="G25" s="52" t="n">
        <x:v>40</x:v>
      </x:c>
      <x:c r="H25" s="52" t="n">
        <x:v>40</x:v>
      </x:c>
      <x:c r="I25" s="52" t="n">
        <x:v>6</x:v>
      </x:c>
      <x:c r="J25" s="52" t="n">
        <x:v>12</x:v>
      </x:c>
      <x:c r="K25" s="52"/>
      <x:c r="L25" s="52"/>
      <x:c r="M25" s="52"/>
      <x:c r="N25" s="52"/>
      <x:c r="O25" s="52"/>
      <x:c r="P25" s="18" t="str">
        <x:v>C inventory</x:v>
      </x:c>
      <x:c r="Q25" s="18" t="str">
        <x:v>http://poll.forumresearch.com/data/NB%20Horserace%20News%20Release%20(2014%2009%2021)%20Forum%20Research.pdf</x:v>
      </x:c>
      <x:c r="R25" s="18"/>
      <x:c r="S25" s="18" t="str">
        <x:v>https://en.wikipedia.org/wiki/2014_New_Brunswick_general_election</x:v>
      </x:c>
      <x:c r="T25" s="18"/>
      <x:c r="U25" s="18"/>
      <x:c r="V25" s="29" t="str">
        <x:v>Completeness inventory extracted from linked election poll table. Use only rows separately upgraded to A/B in the core model.</x:v>
      </x:c>
    </x:row>
    <x:row r="26">
      <x:c r="A26" s="18" t="str">
        <x:v>gallant-2014-11-26-35</x:v>
      </x:c>
      <x:c r="B26" s="18" t="str">
        <x:v>Gallant</x:v>
      </x:c>
      <x:c r="C26" s="18" t="str">
        <x:v>Brian Gallant</x:v>
      </x:c>
      <x:c r="D26" s="18" t="str">
        <x:v>Corporate Research Associates</x:v>
      </x:c>
      <x:c r="E26" s="21" t="n">
        <x:v>41969.458333333336</x:v>
      </x:c>
      <x:c r="F26" s="29" t="str">
        <x:v>Reported party shares; denominator/methodology not verified in index</x:v>
      </x:c>
      <x:c r="G26" s="52" t="n">
        <x:v>52</x:v>
      </x:c>
      <x:c r="H26" s="52" t="n">
        <x:v>23</x:v>
      </x:c>
      <x:c r="I26" s="52" t="n">
        <x:v>9</x:v>
      </x:c>
      <x:c r="J26" s="52" t="n">
        <x:v>14</x:v>
      </x:c>
      <x:c r="K26" s="52" t="n">
        <x:v>1</x:v>
      </x:c>
      <x:c r="L26" s="52"/>
      <x:c r="M26" s="52"/>
      <x:c r="N26" s="52"/>
      <x:c r="O26" s="52"/>
      <x:c r="P26" s="18" t="str">
        <x:v>C inventory</x:v>
      </x:c>
      <x:c r="Q26" s="18" t="str">
        <x:v>http://cra.ca/wp-content/uploads/2015/03/15-1-NB-Press-Release-298340980598.pdf</x:v>
      </x:c>
      <x:c r="R26" s="18"/>
      <x:c r="S26" s="18" t="str">
        <x:v>https://en.wikipedia.org/wiki/2018_New_Brunswick_general_election</x:v>
      </x:c>
      <x:c r="T26" s="18"/>
      <x:c r="U26" s="18"/>
      <x:c r="V26" s="29" t="str">
        <x:v>Completeness inventory extracted from linked election poll table. Use only rows separately upgraded to A/B in the core model.</x:v>
      </x:c>
    </x:row>
    <x:row r="27">
      <x:c r="A27" s="18" t="str">
        <x:v>gallant-2015-03-02-34</x:v>
      </x:c>
      <x:c r="B27" s="18" t="str">
        <x:v>Gallant</x:v>
      </x:c>
      <x:c r="C27" s="18" t="str">
        <x:v>Brian Gallant</x:v>
      </x:c>
      <x:c r="D27" s="18" t="str">
        <x:v>Corporate Research Associates</x:v>
      </x:c>
      <x:c r="E27" s="21" t="n">
        <x:v>42065.458333333336</x:v>
      </x:c>
      <x:c r="F27" s="29" t="str">
        <x:v>Reported party shares; denominator/methodology not verified in index</x:v>
      </x:c>
      <x:c r="G27" s="52" t="n">
        <x:v>54</x:v>
      </x:c>
      <x:c r="H27" s="52" t="n">
        <x:v>27</x:v>
      </x:c>
      <x:c r="I27" s="52" t="n">
        <x:v>10</x:v>
      </x:c>
      <x:c r="J27" s="52" t="n">
        <x:v>9</x:v>
      </x:c>
      <x:c r="K27" s="52" t="n">
        <x:v>1</x:v>
      </x:c>
      <x:c r="L27" s="52"/>
      <x:c r="M27" s="52"/>
      <x:c r="N27" s="52"/>
      <x:c r="O27" s="52"/>
      <x:c r="P27" s="18" t="str">
        <x:v>C inventory</x:v>
      </x:c>
      <x:c r="Q27" s="18" t="str">
        <x:v>http://cra.ca/wp-content/uploads/2015/03/15-1-NB-Press-Release-298340980598.pdf</x:v>
      </x:c>
      <x:c r="R27" s="18"/>
      <x:c r="S27" s="18" t="str">
        <x:v>https://en.wikipedia.org/wiki/2018_New_Brunswick_general_election</x:v>
      </x:c>
      <x:c r="T27" s="18"/>
      <x:c r="U27" s="18"/>
      <x:c r="V27" s="29" t="str">
        <x:v>Completeness inventory extracted from linked election poll table. Use only rows separately upgraded to A/B in the core model.</x:v>
      </x:c>
    </x:row>
    <x:row r="28">
      <x:c r="A28" s="18" t="str">
        <x:v>gallant-2015-06-09-33</x:v>
      </x:c>
      <x:c r="B28" s="18" t="str">
        <x:v>Gallant</x:v>
      </x:c>
      <x:c r="C28" s="18" t="str">
        <x:v>Brian Gallant</x:v>
      </x:c>
      <x:c r="D28" s="18" t="str">
        <x:v>Corporate Research Associates</x:v>
      </x:c>
      <x:c r="E28" s="21" t="n">
        <x:v>42164.416666666664</x:v>
      </x:c>
      <x:c r="F28" s="29" t="str">
        <x:v>Reported party shares; denominator/methodology not verified in index</x:v>
      </x:c>
      <x:c r="G28" s="52" t="n">
        <x:v>38</x:v>
      </x:c>
      <x:c r="H28" s="52" t="n">
        <x:v>28</x:v>
      </x:c>
      <x:c r="I28" s="52" t="n">
        <x:v>11</x:v>
      </x:c>
      <x:c r="J28" s="52" t="n">
        <x:v>23</x:v>
      </x:c>
      <x:c r="K28" s="52" t="n">
        <x:v>1</x:v>
      </x:c>
      <x:c r="L28" s="52"/>
      <x:c r="M28" s="52"/>
      <x:c r="N28" s="52"/>
      <x:c r="O28" s="52"/>
      <x:c r="P28" s="18" t="str">
        <x:v>C inventory</x:v>
      </x:c>
      <x:c r="Q28" s="18" t="str">
        <x:v>http://cra.ca/wp-content/uploads/2015/06/15-2-NB-Press-Release-5802841980986216.pdf</x:v>
      </x:c>
      <x:c r="R28" s="18"/>
      <x:c r="S28" s="18" t="str">
        <x:v>https://en.wikipedia.org/wiki/2018_New_Brunswick_general_election</x:v>
      </x:c>
      <x:c r="T28" s="18"/>
      <x:c r="U28" s="18"/>
      <x:c r="V28" s="29" t="str">
        <x:v>Completeness inventory extracted from linked election poll table. Use only rows separately upgraded to A/B in the core model.</x:v>
      </x:c>
    </x:row>
    <x:row r="29">
      <x:c r="A29" s="18" t="str">
        <x:v>gallant-2015-09-10-32</x:v>
      </x:c>
      <x:c r="B29" s="18" t="str">
        <x:v>Gallant</x:v>
      </x:c>
      <x:c r="C29" s="18" t="str">
        <x:v>Brian Gallant</x:v>
      </x:c>
      <x:c r="D29" s="18" t="str">
        <x:v>Corporate Research Associates</x:v>
      </x:c>
      <x:c r="E29" s="21" t="n">
        <x:v>42257.416666666664</x:v>
      </x:c>
      <x:c r="F29" s="29" t="str">
        <x:v>Reported party shares; denominator/methodology not verified in index</x:v>
      </x:c>
      <x:c r="G29" s="52" t="n">
        <x:v>36</x:v>
      </x:c>
      <x:c r="H29" s="52" t="n">
        <x:v>28</x:v>
      </x:c>
      <x:c r="I29" s="52" t="n">
        <x:v>10</x:v>
      </x:c>
      <x:c r="J29" s="52" t="n">
        <x:v>25</x:v>
      </x:c>
      <x:c r="K29" s="52" t="n">
        <x:v>2</x:v>
      </x:c>
      <x:c r="L29" s="52"/>
      <x:c r="M29" s="52"/>
      <x:c r="N29" s="52"/>
      <x:c r="O29" s="52"/>
      <x:c r="P29" s="18" t="str">
        <x:v>C inventory</x:v>
      </x:c>
      <x:c r="Q29" s="18" t="str">
        <x:v>http://cra.ca/wp-content/uploads/2015/09/15-3-NB-Press-Release-86767666922.pdf</x:v>
      </x:c>
      <x:c r="R29" s="18"/>
      <x:c r="S29" s="18" t="str">
        <x:v>https://en.wikipedia.org/wiki/2018_New_Brunswick_general_election</x:v>
      </x:c>
      <x:c r="T29" s="18"/>
      <x:c r="U29" s="18"/>
      <x:c r="V29" s="29" t="str">
        <x:v>Completeness inventory extracted from linked election poll table. Use only rows separately upgraded to A/B in the core model.</x:v>
      </x:c>
    </x:row>
    <x:row r="30">
      <x:c r="A30" s="18" t="str">
        <x:v>gallant-2015-11-30-31</x:v>
      </x:c>
      <x:c r="B30" s="18" t="str">
        <x:v>Gallant</x:v>
      </x:c>
      <x:c r="C30" s="18" t="str">
        <x:v>Brian Gallant</x:v>
      </x:c>
      <x:c r="D30" s="18" t="str">
        <x:v>Corporate Research Associates</x:v>
      </x:c>
      <x:c r="E30" s="21" t="n">
        <x:v>42338.458333333336</x:v>
      </x:c>
      <x:c r="F30" s="29" t="str">
        <x:v>Reported party shares; denominator/methodology not verified in index</x:v>
      </x:c>
      <x:c r="G30" s="52" t="n">
        <x:v>55</x:v>
      </x:c>
      <x:c r="H30" s="52" t="n">
        <x:v>25</x:v>
      </x:c>
      <x:c r="I30" s="52" t="n">
        <x:v>7</x:v>
      </x:c>
      <x:c r="J30" s="52" t="n">
        <x:v>12</x:v>
      </x:c>
      <x:c r="K30" s="52" t="n">
        <x:v>1</x:v>
      </x:c>
      <x:c r="L30" s="52"/>
      <x:c r="M30" s="52"/>
      <x:c r="N30" s="52"/>
      <x:c r="O30" s="52"/>
      <x:c r="P30" s="18" t="str">
        <x:v>C inventory</x:v>
      </x:c>
      <x:c r="Q30" s="18" t="str">
        <x:v>https://cra.ca/wp-content/uploads/2015/12/15-4-NB-Press-Release-02340392890800985029852-1.pdf</x:v>
      </x:c>
      <x:c r="R30" s="18"/>
      <x:c r="S30" s="18" t="str">
        <x:v>https://en.wikipedia.org/wiki/2018_New_Brunswick_general_election</x:v>
      </x:c>
      <x:c r="T30" s="18"/>
      <x:c r="U30" s="18"/>
      <x:c r="V30" s="29" t="str">
        <x:v>Completeness inventory extracted from linked election poll table. Use only rows separately upgraded to A/B in the core model.</x:v>
      </x:c>
    </x:row>
    <x:row r="31">
      <x:c r="A31" s="18" t="str">
        <x:v>gallant-2016-03-02-30</x:v>
      </x:c>
      <x:c r="B31" s="18" t="str">
        <x:v>Gallant</x:v>
      </x:c>
      <x:c r="C31" s="18" t="str">
        <x:v>Brian Gallant</x:v>
      </x:c>
      <x:c r="D31" s="18" t="str">
        <x:v>Corporate Research Associates</x:v>
      </x:c>
      <x:c r="E31" s="21" t="n">
        <x:v>42431.458333333336</x:v>
      </x:c>
      <x:c r="F31" s="29" t="str">
        <x:v>Reported party shares; denominator/methodology not verified in index</x:v>
      </x:c>
      <x:c r="G31" s="52" t="n">
        <x:v>45</x:v>
      </x:c>
      <x:c r="H31" s="52" t="n">
        <x:v>27</x:v>
      </x:c>
      <x:c r="I31" s="52" t="n">
        <x:v>8</x:v>
      </x:c>
      <x:c r="J31" s="52" t="n">
        <x:v>18</x:v>
      </x:c>
      <x:c r="K31" s="52" t="n">
        <x:v>2</x:v>
      </x:c>
      <x:c r="L31" s="52"/>
      <x:c r="M31" s="52"/>
      <x:c r="N31" s="52"/>
      <x:c r="O31" s="52"/>
      <x:c r="P31" s="18" t="str">
        <x:v>C inventory</x:v>
      </x:c>
      <x:c r="Q31" s="18" t="str">
        <x:v>https://cra.ca/wp-content/uploads/2016/03/16-1-NB-aldkfj987345.pdf</x:v>
      </x:c>
      <x:c r="R31" s="18"/>
      <x:c r="S31" s="18" t="str">
        <x:v>https://en.wikipedia.org/wiki/2018_New_Brunswick_general_election</x:v>
      </x:c>
      <x:c r="T31" s="18"/>
      <x:c r="U31" s="18"/>
      <x:c r="V31" s="29" t="str">
        <x:v>Completeness inventory extracted from linked election poll table. Use only rows separately upgraded to A/B in the core model.</x:v>
      </x:c>
    </x:row>
    <x:row r="32">
      <x:c r="A32" s="18" t="str">
        <x:v>gallant-2016-04-16-29</x:v>
      </x:c>
      <x:c r="B32" s="18" t="str">
        <x:v>Gallant</x:v>
      </x:c>
      <x:c r="C32" s="18" t="str">
        <x:v>Brian Gallant</x:v>
      </x:c>
      <x:c r="D32" s="18" t="str">
        <x:v>MQO Research</x:v>
      </x:c>
      <x:c r="E32" s="21" t="n">
        <x:v>42476.416666666664</x:v>
      </x:c>
      <x:c r="F32" s="29" t="str">
        <x:v>Reported party shares; denominator/methodology not verified in index</x:v>
      </x:c>
      <x:c r="G32" s="52" t="n">
        <x:v>51</x:v>
      </x:c>
      <x:c r="H32" s="52" t="n">
        <x:v>28</x:v>
      </x:c>
      <x:c r="I32" s="52" t="n">
        <x:v>9</x:v>
      </x:c>
      <x:c r="J32" s="52" t="n">
        <x:v>11</x:v>
      </x:c>
      <x:c r="K32" s="52" t="n">
        <x:v>2</x:v>
      </x:c>
      <x:c r="L32" s="52"/>
      <x:c r="M32" s="52"/>
      <x:c r="N32" s="52"/>
      <x:c r="O32" s="52"/>
      <x:c r="P32" s="18" t="str">
        <x:v>C inventory</x:v>
      </x:c>
      <x:c r="Q32" s="18"/>
      <x:c r="R32" s="18" t="str">
        <x:v>https://web.archive.org/web/20170207112702/https://www.mqoresearch.com/am-nb.pdf</x:v>
      </x:c>
      <x:c r="S32" s="18" t="str">
        <x:v>https://en.wikipedia.org/wiki/2018_New_Brunswick_general_election</x:v>
      </x:c>
      <x:c r="T32" s="18"/>
      <x:c r="U32" s="18"/>
      <x:c r="V32" s="29" t="str">
        <x:v>Completeness inventory extracted from linked election poll table. Use only rows separately upgraded to A/B in the core model.</x:v>
      </x:c>
    </x:row>
    <x:row r="33">
      <x:c r="A33" s="18" t="str">
        <x:v>gallant-2016-06-01-28</x:v>
      </x:c>
      <x:c r="B33" s="18" t="str">
        <x:v>Gallant</x:v>
      </x:c>
      <x:c r="C33" s="18" t="str">
        <x:v>Brian Gallant</x:v>
      </x:c>
      <x:c r="D33" s="18" t="str">
        <x:v>Corporate Research Associates</x:v>
      </x:c>
      <x:c r="E33" s="21" t="n">
        <x:v>42522.416666666664</x:v>
      </x:c>
      <x:c r="F33" s="29" t="str">
        <x:v>Reported party shares; denominator/methodology not verified in index</x:v>
      </x:c>
      <x:c r="G33" s="52" t="n">
        <x:v>52</x:v>
      </x:c>
      <x:c r="H33" s="52" t="n">
        <x:v>25</x:v>
      </x:c>
      <x:c r="I33" s="52" t="n">
        <x:v>9</x:v>
      </x:c>
      <x:c r="J33" s="52" t="n">
        <x:v>12</x:v>
      </x:c>
      <x:c r="K33" s="52" t="n">
        <x:v>2</x:v>
      </x:c>
      <x:c r="L33" s="52"/>
      <x:c r="M33" s="52"/>
      <x:c r="N33" s="52"/>
      <x:c r="O33" s="52"/>
      <x:c r="P33" s="18" t="str">
        <x:v>C inventory</x:v>
      </x:c>
      <x:c r="Q33" s="18" t="str">
        <x:v>https://cra.ca/wp-content/uploads/2016/06/16-2-NB-Press-Release-29348243950262.pdf</x:v>
      </x:c>
      <x:c r="R33" s="18"/>
      <x:c r="S33" s="18" t="str">
        <x:v>https://en.wikipedia.org/wiki/2018_New_Brunswick_general_election</x:v>
      </x:c>
      <x:c r="T33" s="18"/>
      <x:c r="U33" s="18"/>
      <x:c r="V33" s="29" t="str">
        <x:v>Completeness inventory extracted from linked election poll table. Use only rows separately upgraded to A/B in the core model.</x:v>
      </x:c>
    </x:row>
    <x:row r="34">
      <x:c r="A34" s="18" t="str">
        <x:v>gallant-2016-07-19-27</x:v>
      </x:c>
      <x:c r="B34" s="18" t="str">
        <x:v>Gallant</x:v>
      </x:c>
      <x:c r="C34" s="18" t="str">
        <x:v>Brian Gallant</x:v>
      </x:c>
      <x:c r="D34" s="18" t="str">
        <x:v>MQO Research</x:v>
      </x:c>
      <x:c r="E34" s="21" t="n">
        <x:v>42570.416666666664</x:v>
      </x:c>
      <x:c r="F34" s="29" t="str">
        <x:v>Reported party shares; denominator/methodology not verified in index</x:v>
      </x:c>
      <x:c r="G34" s="52" t="n">
        <x:v>50</x:v>
      </x:c>
      <x:c r="H34" s="52" t="n">
        <x:v>28</x:v>
      </x:c>
      <x:c r="I34" s="52" t="n">
        <x:v>8</x:v>
      </x:c>
      <x:c r="J34" s="52" t="n">
        <x:v>10</x:v>
      </x:c>
      <x:c r="K34" s="52" t="n">
        <x:v>5</x:v>
      </x:c>
      <x:c r="L34" s="52"/>
      <x:c r="M34" s="52"/>
      <x:c r="N34" s="52"/>
      <x:c r="O34" s="52"/>
      <x:c r="P34" s="18" t="str">
        <x:v>C inventory</x:v>
      </x:c>
      <x:c r="Q34" s="18"/>
      <x:c r="R34" s="18" t="str">
        <x:v>https://web.archive.org/web/20170207112809/https://www.mqoresearch.com/am-nb-0716.pdf</x:v>
      </x:c>
      <x:c r="S34" s="18" t="str">
        <x:v>https://en.wikipedia.org/wiki/2018_New_Brunswick_general_election</x:v>
      </x:c>
      <x:c r="T34" s="18"/>
      <x:c r="U34" s="18"/>
      <x:c r="V34" s="29" t="str">
        <x:v>Completeness inventory extracted from linked election poll table. Use only rows separately upgraded to A/B in the core model.</x:v>
      </x:c>
    </x:row>
    <x:row r="35">
      <x:c r="A35" s="18" t="str">
        <x:v>gallant-2016-08-31-26</x:v>
      </x:c>
      <x:c r="B35" s="18" t="str">
        <x:v>Gallant</x:v>
      </x:c>
      <x:c r="C35" s="18" t="str">
        <x:v>Brian Gallant</x:v>
      </x:c>
      <x:c r="D35" s="18" t="str">
        <x:v>Corporate Research Associates</x:v>
      </x:c>
      <x:c r="E35" s="21" t="n">
        <x:v>42613.416666666664</x:v>
      </x:c>
      <x:c r="F35" s="29" t="str">
        <x:v>Reported party shares; denominator/methodology not verified in index</x:v>
      </x:c>
      <x:c r="G35" s="52" t="n">
        <x:v>54</x:v>
      </x:c>
      <x:c r="H35" s="52" t="n">
        <x:v>28</x:v>
      </x:c>
      <x:c r="I35" s="52" t="n">
        <x:v>8</x:v>
      </x:c>
      <x:c r="J35" s="52" t="n">
        <x:v>8</x:v>
      </x:c>
      <x:c r="K35" s="52" t="n">
        <x:v>2</x:v>
      </x:c>
      <x:c r="L35" s="52"/>
      <x:c r="M35" s="52"/>
      <x:c r="N35" s="52"/>
      <x:c r="O35" s="52"/>
      <x:c r="P35" s="18" t="str">
        <x:v>C inventory</x:v>
      </x:c>
      <x:c r="Q35" s="18" t="str">
        <x:v>https://cra.ca/wp-content/uploads/2016/09/16-3-NB-Press-Release-348743994379347.pdf</x:v>
      </x:c>
      <x:c r="R35" s="18"/>
      <x:c r="S35" s="18" t="str">
        <x:v>https://en.wikipedia.org/wiki/2018_New_Brunswick_general_election</x:v>
      </x:c>
      <x:c r="T35" s="18"/>
      <x:c r="U35" s="18"/>
      <x:c r="V35" s="29" t="str">
        <x:v>Completeness inventory extracted from linked election poll table. Use only rows separately upgraded to A/B in the core model.</x:v>
      </x:c>
    </x:row>
    <x:row r="36">
      <x:c r="A36" s="18" t="str">
        <x:v>gallant-2016-10-15-25</x:v>
      </x:c>
      <x:c r="B36" s="18" t="str">
        <x:v>Gallant</x:v>
      </x:c>
      <x:c r="C36" s="18" t="str">
        <x:v>Brian Gallant</x:v>
      </x:c>
      <x:c r="D36" s="18" t="str">
        <x:v>MQO Research</x:v>
      </x:c>
      <x:c r="E36" s="21" t="n">
        <x:v>42658.416666666664</x:v>
      </x:c>
      <x:c r="F36" s="29" t="str">
        <x:v>Reported party shares; denominator/methodology not verified in index</x:v>
      </x:c>
      <x:c r="G36" s="52" t="n">
        <x:v>54</x:v>
      </x:c>
      <x:c r="H36" s="52" t="n">
        <x:v>25</x:v>
      </x:c>
      <x:c r="I36" s="52" t="n">
        <x:v>8</x:v>
      </x:c>
      <x:c r="J36" s="52" t="n">
        <x:v>12</x:v>
      </x:c>
      <x:c r="K36" s="52" t="n">
        <x:v>2</x:v>
      </x:c>
      <x:c r="L36" s="52"/>
      <x:c r="M36" s="52"/>
      <x:c r="N36" s="52"/>
      <x:c r="O36" s="52"/>
      <x:c r="P36" s="18" t="str">
        <x:v>C inventory</x:v>
      </x:c>
      <x:c r="Q36" s="18"/>
      <x:c r="R36" s="18" t="str">
        <x:v>https://web.archive.org/web/20170207112603/https://www.mqoresearch.com/am-nb-oct2016.PDF</x:v>
      </x:c>
      <x:c r="S36" s="18" t="str">
        <x:v>https://en.wikipedia.org/wiki/2018_New_Brunswick_general_election</x:v>
      </x:c>
      <x:c r="T36" s="18"/>
      <x:c r="U36" s="18"/>
      <x:c r="V36" s="29" t="str">
        <x:v>Completeness inventory extracted from linked election poll table. Use only rows separately upgraded to A/B in the core model.</x:v>
      </x:c>
    </x:row>
    <x:row r="37">
      <x:c r="A37" s="18" t="str">
        <x:v>gallant-2016-11-30-24</x:v>
      </x:c>
      <x:c r="B37" s="18" t="str">
        <x:v>Gallant</x:v>
      </x:c>
      <x:c r="C37" s="18" t="str">
        <x:v>Brian Gallant</x:v>
      </x:c>
      <x:c r="D37" s="18" t="str">
        <x:v>Corporate Research Associates</x:v>
      </x:c>
      <x:c r="E37" s="21" t="n">
        <x:v>42704.458333333336</x:v>
      </x:c>
      <x:c r="F37" s="29" t="str">
        <x:v>Reported party shares; denominator/methodology not verified in index</x:v>
      </x:c>
      <x:c r="G37" s="52" t="n">
        <x:v>53</x:v>
      </x:c>
      <x:c r="H37" s="52" t="n">
        <x:v>30</x:v>
      </x:c>
      <x:c r="I37" s="52" t="n">
        <x:v>9</x:v>
      </x:c>
      <x:c r="J37" s="52" t="n">
        <x:v>7</x:v>
      </x:c>
      <x:c r="K37" s="52" t="n">
        <x:v>2</x:v>
      </x:c>
      <x:c r="L37" s="52"/>
      <x:c r="M37" s="52"/>
      <x:c r="N37" s="52"/>
      <x:c r="O37" s="52"/>
      <x:c r="P37" s="18" t="str">
        <x:v>C inventory</x:v>
      </x:c>
      <x:c r="Q37" s="18" t="str">
        <x:v>https://cra.ca/wp-content/uploads/2016/12/16-4-NB-Press-Release-23233448978.pdf</x:v>
      </x:c>
      <x:c r="R37" s="18" t="str">
        <x:v>https://web.archive.org/web/20170207031444/https://cra.ca/wp-content/uploads/2016/12/16-4-NB-Press-Release-23233448978.pdf</x:v>
      </x:c>
      <x:c r="S37" s="18" t="str">
        <x:v>https://en.wikipedia.org/wiki/2018_New_Brunswick_general_election</x:v>
      </x:c>
      <x:c r="T37" s="18"/>
      <x:c r="U37" s="18"/>
      <x:c r="V37" s="29" t="str">
        <x:v>Completeness inventory extracted from linked election poll table. Use only rows separately upgraded to A/B in the core model.</x:v>
      </x:c>
    </x:row>
    <x:row r="38">
      <x:c r="A38" s="18" t="str">
        <x:v>gallant-2017-01-22-23</x:v>
      </x:c>
      <x:c r="B38" s="18" t="str">
        <x:v>Gallant</x:v>
      </x:c>
      <x:c r="C38" s="18" t="str">
        <x:v>Brian Gallant</x:v>
      </x:c>
      <x:c r="D38" s="18" t="str">
        <x:v>MQO Research</x:v>
      </x:c>
      <x:c r="E38" s="21" t="n">
        <x:v>42757.458333333336</x:v>
      </x:c>
      <x:c r="F38" s="29" t="str">
        <x:v>Reported party shares; denominator/methodology not verified in index</x:v>
      </x:c>
      <x:c r="G38" s="52" t="n">
        <x:v>50</x:v>
      </x:c>
      <x:c r="H38" s="52" t="n">
        <x:v>30</x:v>
      </x:c>
      <x:c r="I38" s="52" t="n">
        <x:v>7</x:v>
      </x:c>
      <x:c r="J38" s="52" t="n">
        <x:v>11</x:v>
      </x:c>
      <x:c r="K38" s="52" t="n">
        <x:v>1</x:v>
      </x:c>
      <x:c r="L38" s="52"/>
      <x:c r="M38" s="52"/>
      <x:c r="N38" s="52"/>
      <x:c r="O38" s="52"/>
      <x:c r="P38" s="18" t="str">
        <x:v>C inventory</x:v>
      </x:c>
      <x:c r="Q38" s="18"/>
      <x:c r="R38" s="18" t="str">
        <x:v>https://web.archive.org/web/20170207112807/https://www.mqoresearch.com/am-nb-jan2017.PDF</x:v>
      </x:c>
      <x:c r="S38" s="18" t="str">
        <x:v>https://en.wikipedia.org/wiki/2018_New_Brunswick_general_election</x:v>
      </x:c>
      <x:c r="T38" s="18"/>
      <x:c r="U38" s="18"/>
      <x:c r="V38" s="29" t="str">
        <x:v>Completeness inventory extracted from linked election poll table. Use only rows separately upgraded to A/B in the core model.</x:v>
      </x:c>
    </x:row>
    <x:row r="39">
      <x:c r="A39" s="18" t="str">
        <x:v>gallant-2017-03-01-22</x:v>
      </x:c>
      <x:c r="B39" s="18" t="str">
        <x:v>Gallant</x:v>
      </x:c>
      <x:c r="C39" s="18" t="str">
        <x:v>Brian Gallant</x:v>
      </x:c>
      <x:c r="D39" s="18" t="str">
        <x:v>Corporate Research Associates</x:v>
      </x:c>
      <x:c r="E39" s="21" t="n">
        <x:v>42795.458333333336</x:v>
      </x:c>
      <x:c r="F39" s="29" t="str">
        <x:v>Reported party shares; denominator/methodology not verified in index</x:v>
      </x:c>
      <x:c r="G39" s="52" t="n">
        <x:v>51</x:v>
      </x:c>
      <x:c r="H39" s="52" t="n">
        <x:v>30</x:v>
      </x:c>
      <x:c r="I39" s="52" t="n">
        <x:v>5</x:v>
      </x:c>
      <x:c r="J39" s="52" t="n">
        <x:v>12</x:v>
      </x:c>
      <x:c r="K39" s="52" t="n">
        <x:v>2</x:v>
      </x:c>
      <x:c r="L39" s="52"/>
      <x:c r="M39" s="52"/>
      <x:c r="N39" s="52"/>
      <x:c r="O39" s="52"/>
      <x:c r="P39" s="18" t="str">
        <x:v>C inventory</x:v>
      </x:c>
      <x:c r="Q39" s="18" t="str">
        <x:v>https://cra.ca/wp-content/uploads/2017/03/17-1-NB-Press-Release-348377343982.pdf</x:v>
      </x:c>
      <x:c r="R39" s="18"/>
      <x:c r="S39" s="18" t="str">
        <x:v>https://en.wikipedia.org/wiki/2018_New_Brunswick_general_election</x:v>
      </x:c>
      <x:c r="T39" s="18"/>
      <x:c r="U39" s="18"/>
      <x:c r="V39" s="29" t="str">
        <x:v>Completeness inventory extracted from linked election poll table. Use only rows separately upgraded to A/B in the core model.</x:v>
      </x:c>
    </x:row>
    <x:row r="40">
      <x:c r="A40" s="18" t="str">
        <x:v>gallant-2017-04-17-21</x:v>
      </x:c>
      <x:c r="B40" s="18" t="str">
        <x:v>Gallant</x:v>
      </x:c>
      <x:c r="C40" s="18" t="str">
        <x:v>Brian Gallant</x:v>
      </x:c>
      <x:c r="D40" s="18" t="str">
        <x:v>MQO Research</x:v>
      </x:c>
      <x:c r="E40" s="21" t="n">
        <x:v>42842.416666666664</x:v>
      </x:c>
      <x:c r="F40" s="29" t="str">
        <x:v>Reported party shares; denominator/methodology not verified in index</x:v>
      </x:c>
      <x:c r="G40" s="52" t="n">
        <x:v>43</x:v>
      </x:c>
      <x:c r="H40" s="52" t="n">
        <x:v>32</x:v>
      </x:c>
      <x:c r="I40" s="52" t="n">
        <x:v>5</x:v>
      </x:c>
      <x:c r="J40" s="52" t="n">
        <x:v>15</x:v>
      </x:c>
      <x:c r="K40" s="52" t="n">
        <x:v>5</x:v>
      </x:c>
      <x:c r="L40" s="52"/>
      <x:c r="M40" s="52"/>
      <x:c r="N40" s="52"/>
      <x:c r="O40" s="52"/>
      <x:c r="P40" s="18" t="str">
        <x:v>C inventory</x:v>
      </x:c>
      <x:c r="Q40" s="18"/>
      <x:c r="R40" s="18" t="str">
        <x:v>https://web.archive.org/web/20170615183238/http://mqoresearch.com/am-nb-apr2017.pdf</x:v>
      </x:c>
      <x:c r="S40" s="18" t="str">
        <x:v>https://en.wikipedia.org/wiki/2018_New_Brunswick_general_election</x:v>
      </x:c>
      <x:c r="T40" s="18"/>
      <x:c r="U40" s="18"/>
      <x:c r="V40" s="29" t="str">
        <x:v>Completeness inventory extracted from linked election poll table. Use only rows separately upgraded to A/B in the core model.</x:v>
      </x:c>
    </x:row>
    <x:row r="41">
      <x:c r="A41" s="18" t="str">
        <x:v>gallant-2017-05-31-20</x:v>
      </x:c>
      <x:c r="B41" s="18" t="str">
        <x:v>Gallant</x:v>
      </x:c>
      <x:c r="C41" s="18" t="str">
        <x:v>Brian Gallant</x:v>
      </x:c>
      <x:c r="D41" s="18" t="str">
        <x:v>Corporate Research Associates</x:v>
      </x:c>
      <x:c r="E41" s="21" t="n">
        <x:v>42886.416666666664</x:v>
      </x:c>
      <x:c r="F41" s="29" t="str">
        <x:v>Reported party shares; denominator/methodology not verified in index</x:v>
      </x:c>
      <x:c r="G41" s="52" t="n">
        <x:v>46</x:v>
      </x:c>
      <x:c r="H41" s="52" t="n">
        <x:v>33</x:v>
      </x:c>
      <x:c r="I41" s="52" t="n">
        <x:v>6</x:v>
      </x:c>
      <x:c r="J41" s="52" t="n">
        <x:v>11</x:v>
      </x:c>
      <x:c r="K41" s="52" t="n">
        <x:v>3</x:v>
      </x:c>
      <x:c r="L41" s="52"/>
      <x:c r="M41" s="52"/>
      <x:c r="N41" s="52"/>
      <x:c r="O41" s="52"/>
      <x:c r="P41" s="18" t="str">
        <x:v>C inventory</x:v>
      </x:c>
      <x:c r="Q41" s="18" t="str">
        <x:v>https://cra.ca/new-brunswick-liberals-continue-to-enjoy-lead-as-preferred-party-although-gap-is-narrowing/</x:v>
      </x:c>
      <x:c r="R41" s="18"/>
      <x:c r="S41" s="18" t="str">
        <x:v>https://en.wikipedia.org/wiki/2018_New_Brunswick_general_election</x:v>
      </x:c>
      <x:c r="T41" s="18"/>
      <x:c r="U41" s="18"/>
      <x:c r="V41" s="29" t="str">
        <x:v>Completeness inventory extracted from linked election poll table. Use only rows separately upgraded to A/B in the core model.</x:v>
      </x:c>
    </x:row>
    <x:row r="42">
      <x:c r="A42" s="18" t="str">
        <x:v>gallant-2017-06-22-19</x:v>
      </x:c>
      <x:c r="B42" s="18" t="str">
        <x:v>Gallant</x:v>
      </x:c>
      <x:c r="C42" s="18" t="str">
        <x:v>Brian Gallant</x:v>
      </x:c>
      <x:c r="D42" s="18" t="str">
        <x:v>Mainstreet Research</x:v>
      </x:c>
      <x:c r="E42" s="21" t="n">
        <x:v>42908.416666666664</x:v>
      </x:c>
      <x:c r="F42" s="29" t="str">
        <x:v>Reported party shares; denominator/methodology not verified in index</x:v>
      </x:c>
      <x:c r="G42" s="52" t="n">
        <x:v>48</x:v>
      </x:c>
      <x:c r="H42" s="52" t="n">
        <x:v>29</x:v>
      </x:c>
      <x:c r="I42" s="52" t="n">
        <x:v>16</x:v>
      </x:c>
      <x:c r="J42" s="52" t="n">
        <x:v>8</x:v>
      </x:c>
      <x:c r="K42" s="52" t="n">
        <x:v>0</x:v>
      </x:c>
      <x:c r="L42" s="52"/>
      <x:c r="M42" s="52"/>
      <x:c r="N42" s="52"/>
      <x:c r="O42" s="52"/>
      <x:c r="P42" s="18" t="str">
        <x:v>C inventory</x:v>
      </x:c>
      <x:c r="Q42" s="18" t="str">
        <x:v>http://www.mainstreetresearch.ca/new-brunswick-green-party-surges-greater-fredericton-liberal-lead-province-wide/</x:v>
      </x:c>
      <x:c r="R42" s="18"/>
      <x:c r="S42" s="18" t="str">
        <x:v>https://en.wikipedia.org/wiki/2018_New_Brunswick_general_election</x:v>
      </x:c>
      <x:c r="T42" s="18"/>
      <x:c r="U42" s="18"/>
      <x:c r="V42" s="29" t="str">
        <x:v>Completeness inventory extracted from linked election poll table. Use only rows separately upgraded to A/B in the core model.</x:v>
      </x:c>
    </x:row>
    <x:row r="43">
      <x:c r="A43" s="18" t="str">
        <x:v>gallant-2017-07-27-18</x:v>
      </x:c>
      <x:c r="B43" s="18" t="str">
        <x:v>Gallant</x:v>
      </x:c>
      <x:c r="C43" s="18" t="str">
        <x:v>Brian Gallant</x:v>
      </x:c>
      <x:c r="D43" s="18" t="str">
        <x:v>MQO Research</x:v>
      </x:c>
      <x:c r="E43" s="21" t="n">
        <x:v>42943.416666666664</x:v>
      </x:c>
      <x:c r="F43" s="29" t="str">
        <x:v>Reported party shares; denominator/methodology not verified in index</x:v>
      </x:c>
      <x:c r="G43" s="52" t="n">
        <x:v>45</x:v>
      </x:c>
      <x:c r="H43" s="52" t="n">
        <x:v>35</x:v>
      </x:c>
      <x:c r="I43" s="52" t="n">
        <x:v>7</x:v>
      </x:c>
      <x:c r="J43" s="52" t="n">
        <x:v>10</x:v>
      </x:c>
      <x:c r="K43" s="52" t="n">
        <x:v>3</x:v>
      </x:c>
      <x:c r="L43" s="52"/>
      <x:c r="M43" s="52"/>
      <x:c r="N43" s="52"/>
      <x:c r="O43" s="52"/>
      <x:c r="P43" s="18" t="str">
        <x:v>C inventory</x:v>
      </x:c>
      <x:c r="Q43" s="18"/>
      <x:c r="R43" s="18" t="str">
        <x:v>https://web.archive.org/web/20170730204319/http://mqoresearch.com/am-nb-jul2017.pdf</x:v>
      </x:c>
      <x:c r="S43" s="18" t="str">
        <x:v>https://en.wikipedia.org/wiki/2018_New_Brunswick_general_election</x:v>
      </x:c>
      <x:c r="T43" s="18"/>
      <x:c r="U43" s="18"/>
      <x:c r="V43" s="29" t="str">
        <x:v>Completeness inventory extracted from linked election poll table. Use only rows separately upgraded to A/B in the core model.</x:v>
      </x:c>
    </x:row>
    <x:row r="44">
      <x:c r="A44" s="18" t="str">
        <x:v>gallant-2017-09-06-17</x:v>
      </x:c>
      <x:c r="B44" s="18" t="str">
        <x:v>Gallant</x:v>
      </x:c>
      <x:c r="C44" s="18" t="str">
        <x:v>Brian Gallant</x:v>
      </x:c>
      <x:c r="D44" s="18" t="str">
        <x:v>Corporate Research Associates</x:v>
      </x:c>
      <x:c r="E44" s="21" t="n">
        <x:v>42984.416666666664</x:v>
      </x:c>
      <x:c r="F44" s="29" t="str">
        <x:v>Reported party shares; denominator/methodology not verified in index</x:v>
      </x:c>
      <x:c r="G44" s="52" t="n">
        <x:v>47</x:v>
      </x:c>
      <x:c r="H44" s="52" t="n">
        <x:v>32</x:v>
      </x:c>
      <x:c r="I44" s="52" t="n">
        <x:v>7</x:v>
      </x:c>
      <x:c r="J44" s="52" t="n">
        <x:v>12</x:v>
      </x:c>
      <x:c r="K44" s="52" t="n">
        <x:v>2</x:v>
      </x:c>
      <x:c r="L44" s="52"/>
      <x:c r="M44" s="52"/>
      <x:c r="N44" s="52"/>
      <x:c r="O44" s="52"/>
      <x:c r="P44" s="18" t="str">
        <x:v>C inventory</x:v>
      </x:c>
      <x:c r="Q44" s="18" t="str">
        <x:v>https://cra.ca/wp-content/uploads/2017/09/17-3-NB-Press-Release-4934834839.pdf</x:v>
      </x:c>
      <x:c r="R44" s="18"/>
      <x:c r="S44" s="18" t="str">
        <x:v>https://en.wikipedia.org/wiki/2018_New_Brunswick_general_election</x:v>
      </x:c>
      <x:c r="T44" s="18"/>
      <x:c r="U44" s="18"/>
      <x:c r="V44" s="29" t="str">
        <x:v>Completeness inventory extracted from linked election poll table. Use only rows separately upgraded to A/B in the core model.</x:v>
      </x:c>
    </x:row>
    <x:row r="45">
      <x:c r="A45" s="18" t="str">
        <x:v>gallant-2017-10-15-16</x:v>
      </x:c>
      <x:c r="B45" s="18" t="str">
        <x:v>Gallant</x:v>
      </x:c>
      <x:c r="C45" s="18" t="str">
        <x:v>Brian Gallant</x:v>
      </x:c>
      <x:c r="D45" s="18" t="str">
        <x:v>MQO Research</x:v>
      </x:c>
      <x:c r="E45" s="21" t="n">
        <x:v>43023.416666666664</x:v>
      </x:c>
      <x:c r="F45" s="29" t="str">
        <x:v>Reported party shares; denominator/methodology not verified in index</x:v>
      </x:c>
      <x:c r="G45" s="52" t="n">
        <x:v>41</x:v>
      </x:c>
      <x:c r="H45" s="52" t="n">
        <x:v>36</x:v>
      </x:c>
      <x:c r="I45" s="52" t="n">
        <x:v>7</x:v>
      </x:c>
      <x:c r="J45" s="52" t="n">
        <x:v>12</x:v>
      </x:c>
      <x:c r="K45" s="52"/>
      <x:c r="L45" s="52"/>
      <x:c r="M45" s="52"/>
      <x:c r="N45" s="52"/>
      <x:c r="O45" s="52"/>
      <x:c r="P45" s="18" t="str">
        <x:v>C inventory</x:v>
      </x:c>
      <x:c r="Q45" s="18" t="str">
        <x:v>http://mqoresearch.com/wp-content/uploads/2017/10/Atlantic-Matters-Report-NB-Q4-2017.pdf</x:v>
      </x:c>
      <x:c r="R45" s="18"/>
      <x:c r="S45" s="18" t="str">
        <x:v>https://en.wikipedia.org/wiki/2018_New_Brunswick_general_election</x:v>
      </x:c>
      <x:c r="T45" s="18"/>
      <x:c r="U45" s="18"/>
      <x:c r="V45" s="29" t="str">
        <x:v>Completeness inventory extracted from linked election poll table. Use only rows separately upgraded to A/B in the core model.</x:v>
      </x:c>
    </x:row>
    <x:row r="46">
      <x:c r="A46" s="18" t="str">
        <x:v>gallant-2017-11-29-15</x:v>
      </x:c>
      <x:c r="B46" s="18" t="str">
        <x:v>Gallant</x:v>
      </x:c>
      <x:c r="C46" s="18" t="str">
        <x:v>Brian Gallant</x:v>
      </x:c>
      <x:c r="D46" s="18" t="str">
        <x:v>Corporate Research Associates</x:v>
      </x:c>
      <x:c r="E46" s="21" t="n">
        <x:v>43068.458333333336</x:v>
      </x:c>
      <x:c r="F46" s="29" t="str">
        <x:v>Reported party shares; denominator/methodology not verified in index</x:v>
      </x:c>
      <x:c r="G46" s="52" t="n">
        <x:v>47</x:v>
      </x:c>
      <x:c r="H46" s="52" t="n">
        <x:v>28</x:v>
      </x:c>
      <x:c r="I46" s="52" t="n">
        <x:v>9</x:v>
      </x:c>
      <x:c r="J46" s="52" t="n">
        <x:v>11</x:v>
      </x:c>
      <x:c r="K46" s="52" t="n">
        <x:v>3</x:v>
      </x:c>
      <x:c r="L46" s="52"/>
      <x:c r="M46" s="52"/>
      <x:c r="N46" s="52"/>
      <x:c r="O46" s="52"/>
      <x:c r="P46" s="18" t="str">
        <x:v>C inventory</x:v>
      </x:c>
      <x:c r="Q46" s="18" t="str">
        <x:v>https://cra.ca/wp-content/uploads/2017/12/17-4-NB-Press-Release-4349830934.pdf</x:v>
      </x:c>
      <x:c r="R46" s="18"/>
      <x:c r="S46" s="18" t="str">
        <x:v>https://en.wikipedia.org/wiki/2018_New_Brunswick_general_election</x:v>
      </x:c>
      <x:c r="T46" s="18"/>
      <x:c r="U46" s="18"/>
      <x:c r="V46" s="29" t="str">
        <x:v>Completeness inventory extracted from linked election poll table. Use only rows separately upgraded to A/B in the core model.</x:v>
      </x:c>
    </x:row>
    <x:row r="47">
      <x:c r="A47" s="18" t="str">
        <x:v>gallant-2018-01-06-14</x:v>
      </x:c>
      <x:c r="B47" s="18" t="str">
        <x:v>Gallant</x:v>
      </x:c>
      <x:c r="C47" s="18" t="str">
        <x:v>Brian Gallant</x:v>
      </x:c>
      <x:c r="D47" s="18" t="str">
        <x:v>Mainstreet Research</x:v>
      </x:c>
      <x:c r="E47" s="21" t="n">
        <x:v>43106.458333333336</x:v>
      </x:c>
      <x:c r="F47" s="29" t="str">
        <x:v>Reported party shares; denominator/methodology not verified in index</x:v>
      </x:c>
      <x:c r="G47" s="52" t="n">
        <x:v>41.1</x:v>
      </x:c>
      <x:c r="H47" s="52" t="n">
        <x:v>39.7</x:v>
      </x:c>
      <x:c r="I47" s="52" t="n">
        <x:v>9.9</x:v>
      </x:c>
      <x:c r="J47" s="52" t="n">
        <x:v>9.3</x:v>
      </x:c>
      <x:c r="K47" s="52"/>
      <x:c r="L47" s="52"/>
      <x:c r="M47" s="52"/>
      <x:c r="N47" s="52"/>
      <x:c r="O47" s="52"/>
      <x:c r="P47" s="18" t="str">
        <x:v>C inventory</x:v>
      </x:c>
      <x:c r="Q47" s="18" t="str">
        <x:v>https://www.scribd.com/document/369752122/Mainstreet-NB-Jan23a2018</x:v>
      </x:c>
      <x:c r="R47" s="18"/>
      <x:c r="S47" s="18" t="str">
        <x:v>https://en.wikipedia.org/wiki/2018_New_Brunswick_general_election</x:v>
      </x:c>
      <x:c r="T47" s="18"/>
      <x:c r="U47" s="18"/>
      <x:c r="V47" s="29" t="str">
        <x:v>Completeness inventory extracted from linked election poll table. Use only rows separately upgraded to A/B in the core model.</x:v>
      </x:c>
    </x:row>
    <x:row r="48">
      <x:c r="A48" s="18" t="str">
        <x:v>gallant-2018-01-25-13</x:v>
      </x:c>
      <x:c r="B48" s="18" t="str">
        <x:v>Gallant</x:v>
      </x:c>
      <x:c r="C48" s="18" t="str">
        <x:v>Brian Gallant</x:v>
      </x:c>
      <x:c r="D48" s="18" t="str">
        <x:v>MQO Research</x:v>
      </x:c>
      <x:c r="E48" s="21" t="n">
        <x:v>43125.458333333336</x:v>
      </x:c>
      <x:c r="F48" s="29" t="str">
        <x:v>Reported party shares; denominator/methodology not verified in index</x:v>
      </x:c>
      <x:c r="G48" s="52" t="n">
        <x:v>46</x:v>
      </x:c>
      <x:c r="H48" s="52" t="n">
        <x:v>37</x:v>
      </x:c>
      <x:c r="I48" s="52" t="n">
        <x:v>9</x:v>
      </x:c>
      <x:c r="J48" s="52" t="n">
        <x:v>5</x:v>
      </x:c>
      <x:c r="K48" s="52" t="n">
        <x:v>3</x:v>
      </x:c>
      <x:c r="L48" s="52"/>
      <x:c r="M48" s="52"/>
      <x:c r="N48" s="52"/>
      <x:c r="O48" s="52"/>
      <x:c r="P48" s="18" t="str">
        <x:v>C inventory</x:v>
      </x:c>
      <x:c r="Q48" s="18" t="str">
        <x:v>http://mqoresearch.com/wp-content/uploads/2018/02/Atlantic-Matters-Report-NB-January-2018-FINAL.pdf</x:v>
      </x:c>
      <x:c r="R48" s="18"/>
      <x:c r="S48" s="18" t="str">
        <x:v>https://en.wikipedia.org/wiki/2018_New_Brunswick_general_election</x:v>
      </x:c>
      <x:c r="T48" s="18"/>
      <x:c r="U48" s="18"/>
      <x:c r="V48" s="29" t="str">
        <x:v>Completeness inventory extracted from linked election poll table. Use only rows separately upgraded to A/B in the core model.</x:v>
      </x:c>
    </x:row>
    <x:row r="49">
      <x:c r="A49" s="18" t="str">
        <x:v>gallant-2018-03-03-12</x:v>
      </x:c>
      <x:c r="B49" s="18" t="str">
        <x:v>Gallant</x:v>
      </x:c>
      <x:c r="C49" s="18" t="str">
        <x:v>Brian Gallant</x:v>
      </x:c>
      <x:c r="D49" s="18" t="str">
        <x:v>Corporate Research Associates</x:v>
      </x:c>
      <x:c r="E49" s="21" t="n">
        <x:v>43162.458333333336</x:v>
      </x:c>
      <x:c r="F49" s="29" t="str">
        <x:v>Reported party shares; denominator/methodology not verified in index</x:v>
      </x:c>
      <x:c r="G49" s="52" t="n">
        <x:v>43</x:v>
      </x:c>
      <x:c r="H49" s="52" t="n">
        <x:v>30</x:v>
      </x:c>
      <x:c r="I49" s="52" t="n">
        <x:v>11</x:v>
      </x:c>
      <x:c r="J49" s="52" t="n">
        <x:v>13</x:v>
      </x:c>
      <x:c r="K49" s="52" t="n">
        <x:v>3</x:v>
      </x:c>
      <x:c r="L49" s="52"/>
      <x:c r="M49" s="52"/>
      <x:c r="N49" s="52"/>
      <x:c r="O49" s="52"/>
      <x:c r="P49" s="18" t="str">
        <x:v>C inventory</x:v>
      </x:c>
      <x:c r="Q49" s="18" t="str">
        <x:v>https://cra.ca/wp-content/uploads/2018/03/18-1-NB-Press-Release-3398230929.pdf</x:v>
      </x:c>
      <x:c r="R49" s="18"/>
      <x:c r="S49" s="18" t="str">
        <x:v>https://en.wikipedia.org/wiki/2018_New_Brunswick_general_election</x:v>
      </x:c>
      <x:c r="T49" s="18"/>
      <x:c r="U49" s="18"/>
      <x:c r="V49" s="29" t="str">
        <x:v>Completeness inventory extracted from linked election poll table. Use only rows separately upgraded to A/B in the core model.</x:v>
      </x:c>
    </x:row>
    <x:row r="50">
      <x:c r="A50" s="18" t="str">
        <x:v>gallant-2018-05-16-11</x:v>
      </x:c>
      <x:c r="B50" s="18" t="str">
        <x:v>Gallant</x:v>
      </x:c>
      <x:c r="C50" s="18" t="str">
        <x:v>Brian Gallant</x:v>
      </x:c>
      <x:c r="D50" s="18" t="str">
        <x:v>MQO Research</x:v>
      </x:c>
      <x:c r="E50" s="21" t="n">
        <x:v>43236.416666666664</x:v>
      </x:c>
      <x:c r="F50" s="29" t="str">
        <x:v>Reported party shares; denominator/methodology not verified in index</x:v>
      </x:c>
      <x:c r="G50" s="52" t="n">
        <x:v>35</x:v>
      </x:c>
      <x:c r="H50" s="52" t="n">
        <x:v>43</x:v>
      </x:c>
      <x:c r="I50" s="52" t="n">
        <x:v>11</x:v>
      </x:c>
      <x:c r="J50" s="52" t="n">
        <x:v>7</x:v>
      </x:c>
      <x:c r="K50" s="52" t="n">
        <x:v>4</x:v>
      </x:c>
      <x:c r="L50" s="52"/>
      <x:c r="M50" s="52"/>
      <x:c r="N50" s="52"/>
      <x:c r="O50" s="52"/>
      <x:c r="P50" s="18" t="str">
        <x:v>C inventory</x:v>
      </x:c>
      <x:c r="Q50" s="18" t="str">
        <x:v>http://mqoresearch.com/pcs-now-leading-liberals-in-nb/</x:v>
      </x:c>
      <x:c r="R50" s="18"/>
      <x:c r="S50" s="18" t="str">
        <x:v>https://en.wikipedia.org/wiki/2018_New_Brunswick_general_election</x:v>
      </x:c>
      <x:c r="T50" s="18"/>
      <x:c r="U50" s="18"/>
      <x:c r="V50" s="29" t="str">
        <x:v>Completeness inventory extracted from linked election poll table. Use only rows separately upgraded to A/B in the core model.</x:v>
      </x:c>
    </x:row>
    <x:row r="51">
      <x:c r="A51" s="18" t="str">
        <x:v>gallant-2018-05-31-10</x:v>
      </x:c>
      <x:c r="B51" s="18" t="str">
        <x:v>Gallant</x:v>
      </x:c>
      <x:c r="C51" s="18" t="str">
        <x:v>Brian Gallant</x:v>
      </x:c>
      <x:c r="D51" s="18" t="str">
        <x:v>Corporate Research Associates</x:v>
      </x:c>
      <x:c r="E51" s="21" t="n">
        <x:v>43251.416666666664</x:v>
      </x:c>
      <x:c r="F51" s="29" t="str">
        <x:v>Reported party shares; denominator/methodology not verified in index</x:v>
      </x:c>
      <x:c r="G51" s="52" t="n">
        <x:v>45</x:v>
      </x:c>
      <x:c r="H51" s="52" t="n">
        <x:v>31</x:v>
      </x:c>
      <x:c r="I51" s="52" t="n">
        <x:v>7</x:v>
      </x:c>
      <x:c r="J51" s="52" t="n">
        <x:v>13</x:v>
      </x:c>
      <x:c r="K51" s="52" t="n">
        <x:v>4</x:v>
      </x:c>
      <x:c r="L51" s="52"/>
      <x:c r="M51" s="52"/>
      <x:c r="N51" s="52"/>
      <x:c r="O51" s="52"/>
      <x:c r="P51" s="18" t="str">
        <x:v>C inventory</x:v>
      </x:c>
      <x:c r="Q51" s="18" t="str">
        <x:v>https://cra.ca/wp-content/uploads/2018/06/18-2-NB-Press-Release-4382938238.pdf</x:v>
      </x:c>
      <x:c r="R51" s="18"/>
      <x:c r="S51" s="18" t="str">
        <x:v>https://en.wikipedia.org/wiki/2018_New_Brunswick_general_election</x:v>
      </x:c>
      <x:c r="T51" s="18"/>
      <x:c r="U51" s="18"/>
      <x:c r="V51" s="29" t="str">
        <x:v>Completeness inventory extracted from linked election poll table. Use only rows separately upgraded to A/B in the core model.</x:v>
      </x:c>
    </x:row>
    <x:row r="52">
      <x:c r="A52" s="18" t="str">
        <x:v>gallant-2018-07-17-09</x:v>
      </x:c>
      <x:c r="B52" s="18" t="str">
        <x:v>Gallant</x:v>
      </x:c>
      <x:c r="C52" s="18" t="str">
        <x:v>Brian Gallant</x:v>
      </x:c>
      <x:c r="D52" s="18" t="str">
        <x:v>Mainstreet Research</x:v>
      </x:c>
      <x:c r="E52" s="21" t="n">
        <x:v>43298.416666666664</x:v>
      </x:c>
      <x:c r="F52" s="29" t="str">
        <x:v>Reported party shares; denominator/methodology not verified in index</x:v>
      </x:c>
      <x:c r="G52" s="52" t="n">
        <x:v>38.1</x:v>
      </x:c>
      <x:c r="H52" s="52" t="n">
        <x:v>39.4</x:v>
      </x:c>
      <x:c r="I52" s="52" t="n">
        <x:v>8.9</x:v>
      </x:c>
      <x:c r="J52" s="52" t="n">
        <x:v>6.6</x:v>
      </x:c>
      <x:c r="K52" s="52"/>
      <x:c r="L52" s="52"/>
      <x:c r="M52" s="52"/>
      <x:c r="N52" s="52"/>
      <x:c r="O52" s="52"/>
      <x:c r="P52" s="18" t="str">
        <x:v>C inventory</x:v>
      </x:c>
      <x:c r="Q52" s="18" t="str">
        <x:v>https://www.mainstreetresearch.ca/nb-liberals-and-pcs-in-a-virtual-tie/</x:v>
      </x:c>
      <x:c r="R52" s="18"/>
      <x:c r="S52" s="18" t="str">
        <x:v>https://en.wikipedia.org/wiki/2018_New_Brunswick_general_election</x:v>
      </x:c>
      <x:c r="T52" s="18"/>
      <x:c r="U52" s="18"/>
      <x:c r="V52" s="29" t="str">
        <x:v>Completeness inventory extracted from linked election poll table. Use only rows separately upgraded to A/B in the core model.</x:v>
      </x:c>
    </x:row>
    <x:row r="53">
      <x:c r="A53" s="18" t="str">
        <x:v>gallant-2018-08-04-08</x:v>
      </x:c>
      <x:c r="B53" s="18" t="str">
        <x:v>Gallant</x:v>
      </x:c>
      <x:c r="C53" s="18" t="str">
        <x:v>Brian Gallant</x:v>
      </x:c>
      <x:c r="D53" s="18" t="str">
        <x:v>MQO Research</x:v>
      </x:c>
      <x:c r="E53" s="21" t="n">
        <x:v>43316.416666666664</x:v>
      </x:c>
      <x:c r="F53" s="29" t="str">
        <x:v>Reported party shares; denominator/methodology not verified in index</x:v>
      </x:c>
      <x:c r="G53" s="52" t="n">
        <x:v>40</x:v>
      </x:c>
      <x:c r="H53" s="52" t="n">
        <x:v>32</x:v>
      </x:c>
      <x:c r="I53" s="52" t="n">
        <x:v>10</x:v>
      </x:c>
      <x:c r="J53" s="52" t="n">
        <x:v>9</x:v>
      </x:c>
      <x:c r="K53" s="52"/>
      <x:c r="L53" s="52"/>
      <x:c r="M53" s="52"/>
      <x:c r="N53" s="52"/>
      <x:c r="O53" s="52"/>
      <x:c r="P53" s="18" t="str">
        <x:v>C inventory</x:v>
      </x:c>
      <x:c r="Q53" s="18" t="str">
        <x:v>http://mqoresearch.com/wp-content/uploads/2018/08/Atlantic-Matters-NB-Results-Q3-2018.pdf</x:v>
      </x:c>
      <x:c r="R53" s="18"/>
      <x:c r="S53" s="18" t="str">
        <x:v>https://en.wikipedia.org/wiki/2018_New_Brunswick_general_election</x:v>
      </x:c>
      <x:c r="T53" s="18"/>
      <x:c r="U53" s="18"/>
      <x:c r="V53" s="29" t="str">
        <x:v>Completeness inventory extracted from linked election poll table. Use only rows separately upgraded to A/B in the core model.</x:v>
      </x:c>
    </x:row>
    <x:row r="54">
      <x:c r="A54" s="18" t="str">
        <x:v>gallant-2018-08-19-07</x:v>
      </x:c>
      <x:c r="B54" s="18" t="str">
        <x:v>Gallant</x:v>
      </x:c>
      <x:c r="C54" s="18" t="str">
        <x:v>Brian Gallant</x:v>
      </x:c>
      <x:c r="D54" s="18" t="str">
        <x:v>Corporate Research Associates</x:v>
      </x:c>
      <x:c r="E54" s="21" t="n">
        <x:v>43331.416666666664</x:v>
      </x:c>
      <x:c r="F54" s="29" t="str">
        <x:v>Reported party shares; denominator/methodology not verified in index</x:v>
      </x:c>
      <x:c r="G54" s="52" t="n">
        <x:v>50</x:v>
      </x:c>
      <x:c r="H54" s="52" t="n">
        <x:v>30</x:v>
      </x:c>
      <x:c r="I54" s="52" t="n">
        <x:v>7</x:v>
      </x:c>
      <x:c r="J54" s="52" t="n">
        <x:v>7</x:v>
      </x:c>
      <x:c r="K54" s="52" t="n">
        <x:v>6</x:v>
      </x:c>
      <x:c r="L54" s="52"/>
      <x:c r="M54" s="52"/>
      <x:c r="N54" s="52"/>
      <x:c r="O54" s="52"/>
      <x:c r="P54" s="18" t="str">
        <x:v>C inventory</x:v>
      </x:c>
      <x:c r="Q54" s="18" t="str">
        <x:v>https://cra.ca/wp-content/uploads/2018/08/18-3-NB-Press-Release-34983482398328.pdf</x:v>
      </x:c>
      <x:c r="R54" s="18"/>
      <x:c r="S54" s="18" t="str">
        <x:v>https://en.wikipedia.org/wiki/2018_New_Brunswick_general_election</x:v>
      </x:c>
      <x:c r="T54" s="18"/>
      <x:c r="U54" s="18"/>
      <x:c r="V54" s="29" t="str">
        <x:v>Completeness inventory extracted from linked election poll table. Use only rows separately upgraded to A/B in the core model.</x:v>
      </x:c>
    </x:row>
    <x:row r="55">
      <x:c r="A55" s="18" t="str">
        <x:v>gallant-2018-09-09-06</x:v>
      </x:c>
      <x:c r="B55" s="18" t="str">
        <x:v>Gallant</x:v>
      </x:c>
      <x:c r="C55" s="18" t="str">
        <x:v>Brian Gallant</x:v>
      </x:c>
      <x:c r="D55" s="18" t="str">
        <x:v>Corporate Research Associates</x:v>
      </x:c>
      <x:c r="E55" s="21" t="n">
        <x:v>43352.416666666664</x:v>
      </x:c>
      <x:c r="F55" s="29" t="str">
        <x:v>Reported party shares; denominator/methodology not verified in index</x:v>
      </x:c>
      <x:c r="G55" s="52" t="n">
        <x:v>45</x:v>
      </x:c>
      <x:c r="H55" s="52" t="n">
        <x:v>33</x:v>
      </x:c>
      <x:c r="I55" s="52" t="n">
        <x:v>10</x:v>
      </x:c>
      <x:c r="J55" s="52" t="n">
        <x:v>6</x:v>
      </x:c>
      <x:c r="K55" s="52" t="n">
        <x:v>5</x:v>
      </x:c>
      <x:c r="L55" s="52"/>
      <x:c r="M55" s="52"/>
      <x:c r="N55" s="52"/>
      <x:c r="O55" s="52"/>
      <x:c r="P55" s="18" t="str">
        <x:v>C inventory</x:v>
      </x:c>
      <x:c r="Q55" s="18" t="str">
        <x:v>https://cra.ca/wp-content/uploads/2018/09/18-3-NB-Press-Release-Sept.-11-493483423092329.pdf</x:v>
      </x:c>
      <x:c r="R55" s="18"/>
      <x:c r="S55" s="18" t="str">
        <x:v>https://en.wikipedia.org/wiki/2018_New_Brunswick_general_election</x:v>
      </x:c>
      <x:c r="T55" s="18"/>
      <x:c r="U55" s="18"/>
      <x:c r="V55" s="29" t="str">
        <x:v>Completeness inventory extracted from linked election poll table. Use only rows separately upgraded to A/B in the core model.</x:v>
      </x:c>
    </x:row>
    <x:row r="56">
      <x:c r="A56" s="18" t="str">
        <x:v>gallant-2018-09-11-04</x:v>
      </x:c>
      <x:c r="B56" s="18" t="str">
        <x:v>Gallant</x:v>
      </x:c>
      <x:c r="C56" s="18" t="str">
        <x:v>Brian Gallant</x:v>
      </x:c>
      <x:c r="D56" s="18" t="str">
        <x:v>Forum Research</x:v>
      </x:c>
      <x:c r="E56" s="21" t="n">
        <x:v>43354.416666666664</x:v>
      </x:c>
      <x:c r="F56" s="29" t="str">
        <x:v>Reported party shares; denominator/methodology not verified in index</x:v>
      </x:c>
      <x:c r="G56" s="52" t="n">
        <x:v>37</x:v>
      </x:c>
      <x:c r="H56" s="52" t="n">
        <x:v>32</x:v>
      </x:c>
      <x:c r="I56" s="52" t="n">
        <x:v>11</x:v>
      </x:c>
      <x:c r="J56" s="52" t="n">
        <x:v>4</x:v>
      </x:c>
      <x:c r="K56" s="52" t="n">
        <x:v>15</x:v>
      </x:c>
      <x:c r="L56" s="52"/>
      <x:c r="M56" s="52"/>
      <x:c r="N56" s="52"/>
      <x:c r="O56" s="52"/>
      <x:c r="P56" s="18" t="str">
        <x:v>C inventory</x:v>
      </x:c>
      <x:c r="Q56" s="18" t="str">
        <x:v>http://poll.forumresearch.com/data/9c7afb21-799b-44ad-ae90-a6e09ee45372NB%20Issues%20Poll%20September%2013%202018.pdf</x:v>
      </x:c>
      <x:c r="R56" s="18"/>
      <x:c r="S56" s="18" t="str">
        <x:v>https://en.wikipedia.org/wiki/2018_New_Brunswick_general_election</x:v>
      </x:c>
      <x:c r="T56" s="18"/>
      <x:c r="U56" s="18"/>
      <x:c r="V56" s="29" t="str">
        <x:v>Completeness inventory extracted from linked election poll table. Use only rows separately upgraded to A/B in the core model.</x:v>
      </x:c>
    </x:row>
    <x:row r="57">
      <x:c r="A57" s="18" t="str">
        <x:v>gallant-2018-09-11-05</x:v>
      </x:c>
      <x:c r="B57" s="18" t="str">
        <x:v>Gallant</x:v>
      </x:c>
      <x:c r="C57" s="18" t="str">
        <x:v>Brian Gallant</x:v>
      </x:c>
      <x:c r="D57" s="18" t="str">
        <x:v>Leger Research</x:v>
      </x:c>
      <x:c r="E57" s="21" t="n">
        <x:v>43354.416666666664</x:v>
      </x:c>
      <x:c r="F57" s="29" t="str">
        <x:v>Reported party shares; denominator/methodology not verified in index</x:v>
      </x:c>
      <x:c r="G57" s="52" t="n">
        <x:v>41</x:v>
      </x:c>
      <x:c r="H57" s="52" t="n">
        <x:v>32</x:v>
      </x:c>
      <x:c r="I57" s="52" t="n">
        <x:v>8</x:v>
      </x:c>
      <x:c r="J57" s="52" t="n">
        <x:v>8</x:v>
      </x:c>
      <x:c r="K57" s="52" t="n">
        <x:v>10</x:v>
      </x:c>
      <x:c r="L57" s="52"/>
      <x:c r="M57" s="52"/>
      <x:c r="N57" s="52"/>
      <x:c r="O57" s="52"/>
      <x:c r="P57" s="18" t="str">
        <x:v>C inventory</x:v>
      </x:c>
      <x:c r="Q57" s="18" t="str">
        <x:v>http://leger360.com/wp-content/uploads/2018/10/Provincial-politics-NB-September-14-2018.pdf</x:v>
      </x:c>
      <x:c r="R57" s="18"/>
      <x:c r="S57" s="18" t="str">
        <x:v>https://en.wikipedia.org/wiki/2018_New_Brunswick_general_election</x:v>
      </x:c>
      <x:c r="T57" s="18"/>
      <x:c r="U57" s="18"/>
      <x:c r="V57" s="29" t="str">
        <x:v>Completeness inventory extracted from linked election poll table. Use only rows separately upgraded to A/B in the core model.</x:v>
      </x:c>
    </x:row>
    <x:row r="58">
      <x:c r="A58" s="18" t="str">
        <x:v>gallant-2018-09-20-03</x:v>
      </x:c>
      <x:c r="B58" s="18" t="str">
        <x:v>Gallant</x:v>
      </x:c>
      <x:c r="C58" s="18" t="str">
        <x:v>Brian Gallant</x:v>
      </x:c>
      <x:c r="D58" s="18" t="str">
        <x:v>Nanos Research</x:v>
      </x:c>
      <x:c r="E58" s="21" t="n">
        <x:v>43363.416666666664</x:v>
      </x:c>
      <x:c r="F58" s="29" t="str">
        <x:v>Reported party shares; denominator/methodology not verified in index</x:v>
      </x:c>
      <x:c r="G58" s="52" t="n">
        <x:v>37.4</x:v>
      </x:c>
      <x:c r="H58" s="52" t="n">
        <x:v>30.2</x:v>
      </x:c>
      <x:c r="I58" s="52" t="n">
        <x:v>10.8</x:v>
      </x:c>
      <x:c r="J58" s="52" t="n">
        <x:v>9.6</x:v>
      </x:c>
      <x:c r="K58" s="52" t="n">
        <x:v>12</x:v>
      </x:c>
      <x:c r="L58" s="52"/>
      <x:c r="M58" s="52"/>
      <x:c r="N58" s="52"/>
      <x:c r="O58" s="52"/>
      <x:c r="P58" s="18" t="str">
        <x:v>C inventory</x:v>
      </x:c>
      <x:c r="Q58" s="18" t="str">
        <x:v>http://www.nanos.co/wp-content/uploads/2018/09/2018-1252-Telegraph-Journal-W3-Populated-Report-with-Tabs.pdf</x:v>
      </x:c>
      <x:c r="R58" s="18"/>
      <x:c r="S58" s="18" t="str">
        <x:v>https://en.wikipedia.org/wiki/2018_New_Brunswick_general_election</x:v>
      </x:c>
      <x:c r="T58" s="18"/>
      <x:c r="U58" s="18"/>
      <x:c r="V58" s="29" t="str">
        <x:v>Completeness inventory extracted from linked election poll table. Use only rows separately upgraded to A/B in the core model.</x:v>
      </x:c>
    </x:row>
    <x:row r="59">
      <x:c r="A59" s="18" t="str">
        <x:v>gallant-2018-09-21-02</x:v>
      </x:c>
      <x:c r="B59" s="18" t="str">
        <x:v>Gallant</x:v>
      </x:c>
      <x:c r="C59" s="18" t="str">
        <x:v>Brian Gallant</x:v>
      </x:c>
      <x:c r="D59" s="18" t="str">
        <x:v>Mainstreet Research</x:v>
      </x:c>
      <x:c r="E59" s="21" t="n">
        <x:v>43364.416666666664</x:v>
      </x:c>
      <x:c r="F59" s="29" t="str">
        <x:v>Reported party shares; denominator/methodology not verified in index</x:v>
      </x:c>
      <x:c r="G59" s="52" t="n">
        <x:v>35.2</x:v>
      </x:c>
      <x:c r="H59" s="52" t="n">
        <x:v>28.8</x:v>
      </x:c>
      <x:c r="I59" s="52" t="n">
        <x:v>16</x:v>
      </x:c>
      <x:c r="J59" s="52" t="n">
        <x:v>3.2</x:v>
      </x:c>
      <x:c r="K59" s="52" t="n">
        <x:v>14.8</x:v>
      </x:c>
      <x:c r="L59" s="52"/>
      <x:c r="M59" s="52"/>
      <x:c r="N59" s="52"/>
      <x:c r="O59" s="52"/>
      <x:c r="P59" s="18" t="str">
        <x:v>C inventory</x:v>
      </x:c>
      <x:c r="Q59" s="18" t="str">
        <x:v>https://www.mainstreetresearch.ca/nb-liberals-leading-as-election-draws-to-a-close/</x:v>
      </x:c>
      <x:c r="R59" s="18"/>
      <x:c r="S59" s="18" t="str">
        <x:v>https://en.wikipedia.org/wiki/2018_New_Brunswick_general_election</x:v>
      </x:c>
      <x:c r="T59" s="18"/>
      <x:c r="U59" s="18"/>
      <x:c r="V59" s="29" t="str">
        <x:v>Completeness inventory extracted from linked election poll table. Use only rows separately upgraded to A/B in the core model.</x:v>
      </x:c>
    </x:row>
    <x:row r="60">
      <x:c r="A60" s="18" t="str">
        <x:v>gallant-2018-09-23-01</x:v>
      </x:c>
      <x:c r="B60" s="18" t="str">
        <x:v>Gallant</x:v>
      </x:c>
      <x:c r="C60" s="18" t="str">
        <x:v>Brian Gallant</x:v>
      </x:c>
      <x:c r="D60" s="18" t="str">
        <x:v>Forum Research</x:v>
      </x:c>
      <x:c r="E60" s="21" t="n">
        <x:v>43366.416666666664</x:v>
      </x:c>
      <x:c r="F60" s="29" t="str">
        <x:v>Reported party shares; denominator/methodology not verified in index</x:v>
      </x:c>
      <x:c r="G60" s="52" t="n">
        <x:v>35.8</x:v>
      </x:c>
      <x:c r="H60" s="52" t="n">
        <x:v>29.4</x:v>
      </x:c>
      <x:c r="I60" s="52" t="n">
        <x:v>13.8</x:v>
      </x:c>
      <x:c r="J60" s="52" t="n">
        <x:v>3.6</x:v>
      </x:c>
      <x:c r="K60" s="52" t="n">
        <x:v>16.4</x:v>
      </x:c>
      <x:c r="L60" s="52"/>
      <x:c r="M60" s="52"/>
      <x:c r="N60" s="52"/>
      <x:c r="O60" s="52"/>
      <x:c r="P60" s="18" t="str">
        <x:v>C inventory</x:v>
      </x:c>
      <x:c r="Q60" s="18" t="str">
        <x:v>http://poll.forumresearch.com/post/2871/nb-final-2018</x:v>
      </x:c>
      <x:c r="R60" s="18"/>
      <x:c r="S60" s="18" t="str">
        <x:v>https://en.wikipedia.org/wiki/2018_New_Brunswick_general_election</x:v>
      </x:c>
      <x:c r="T60" s="18"/>
      <x:c r="U60" s="18"/>
      <x:c r="V60" s="29" t="str">
        <x:v>Completeness inventory extracted from linked election poll table. Use only rows separately upgraded to A/B in the core model.</x:v>
      </x:c>
    </x:row>
    <x:row r="61">
      <x:c r="A61" s="18" t="str">
        <x:v>graham-2006-11-01-35</x:v>
      </x:c>
      <x:c r="B61" s="18" t="str">
        <x:v>Graham</x:v>
      </x:c>
      <x:c r="C61" s="18" t="str">
        <x:v>Shawn Graham</x:v>
      </x:c>
      <x:c r="D61" s="18" t="str">
        <x:v>Corporate Research Associates</x:v>
      </x:c>
      <x:c r="E61" s="21" t="n">
        <x:v>39022.458333333336</x:v>
      </x:c>
      <x:c r="F61" s="29" t="str">
        <x:v>Reported party shares; denominator/methodology not verified in index</x:v>
      </x:c>
      <x:c r="G61" s="52" t="n">
        <x:v>65</x:v>
      </x:c>
      <x:c r="H61" s="52" t="n">
        <x:v>27</x:v>
      </x:c>
      <x:c r="I61" s="52" t="n">
        <x:v>2</x:v>
      </x:c>
      <x:c r="J61" s="52" t="n">
        <x:v>6</x:v>
      </x:c>
      <x:c r="K61" s="52"/>
      <x:c r="L61" s="52"/>
      <x:c r="M61" s="52"/>
      <x:c r="N61" s="52"/>
      <x:c r="O61" s="52"/>
      <x:c r="P61" s="18" t="str">
        <x:v>C inventory</x:v>
      </x:c>
      <x:c r="Q61" s="18"/>
      <x:c r="R61" s="18" t="str">
        <x:v>https://web.archive.org/web/20091013234435/http://www.electionalmanac.com/canada/newbrunswick/polls.php</x:v>
      </x:c>
      <x:c r="S61" s="18" t="str">
        <x:v>https://en.wikipedia.org/wiki/2010_New_Brunswick_general_election</x:v>
      </x:c>
      <x:c r="T61" s="18"/>
      <x:c r="U61" s="18"/>
      <x:c r="V61" s="29" t="str">
        <x:v>Completeness inventory extracted from linked election poll table. Use only rows separately upgraded to A/B in the core model.</x:v>
      </x:c>
    </x:row>
    <x:row r="62">
      <x:c r="A62" s="18" t="str">
        <x:v>graham-2007-02-01-34</x:v>
      </x:c>
      <x:c r="B62" s="18" t="str">
        <x:v>Graham</x:v>
      </x:c>
      <x:c r="C62" s="18" t="str">
        <x:v>Shawn Graham</x:v>
      </x:c>
      <x:c r="D62" s="18" t="str">
        <x:v>Corporate Research Associates</x:v>
      </x:c>
      <x:c r="E62" s="21" t="n">
        <x:v>39114.458333333336</x:v>
      </x:c>
      <x:c r="F62" s="29" t="str">
        <x:v>Reported party shares; denominator/methodology not verified in index</x:v>
      </x:c>
      <x:c r="G62" s="52" t="n">
        <x:v>59</x:v>
      </x:c>
      <x:c r="H62" s="52" t="n">
        <x:v>27</x:v>
      </x:c>
      <x:c r="I62" s="52" t="n">
        <x:v>2</x:v>
      </x:c>
      <x:c r="J62" s="52" t="n">
        <x:v>11</x:v>
      </x:c>
      <x:c r="K62" s="52"/>
      <x:c r="L62" s="52"/>
      <x:c r="M62" s="52"/>
      <x:c r="N62" s="52"/>
      <x:c r="O62" s="52"/>
      <x:c r="P62" s="18" t="str">
        <x:v>C inventory</x:v>
      </x:c>
      <x:c r="Q62" s="18"/>
      <x:c r="R62" s="18" t="str">
        <x:v>https://web.archive.org/web/20091013234435/http://www.electionalmanac.com/canada/newbrunswick/polls.php</x:v>
      </x:c>
      <x:c r="S62" s="18" t="str">
        <x:v>https://en.wikipedia.org/wiki/2010_New_Brunswick_general_election</x:v>
      </x:c>
      <x:c r="T62" s="18"/>
      <x:c r="U62" s="18"/>
      <x:c r="V62" s="29" t="str">
        <x:v>Completeness inventory extracted from linked election poll table. Use only rows separately upgraded to A/B in the core model.</x:v>
      </x:c>
    </x:row>
    <x:row r="63">
      <x:c r="A63" s="18" t="str">
        <x:v>graham-2007-05-01-33</x:v>
      </x:c>
      <x:c r="B63" s="18" t="str">
        <x:v>Graham</x:v>
      </x:c>
      <x:c r="C63" s="18" t="str">
        <x:v>Shawn Graham</x:v>
      </x:c>
      <x:c r="D63" s="18" t="str">
        <x:v>Corporate Research Associates</x:v>
      </x:c>
      <x:c r="E63" s="21" t="n">
        <x:v>39203.416666666664</x:v>
      </x:c>
      <x:c r="F63" s="29" t="str">
        <x:v>Reported party shares; denominator/methodology not verified in index</x:v>
      </x:c>
      <x:c r="G63" s="52" t="n">
        <x:v>53</x:v>
      </x:c>
      <x:c r="H63" s="52" t="n">
        <x:v>33</x:v>
      </x:c>
      <x:c r="I63" s="52" t="n">
        <x:v>4</x:v>
      </x:c>
      <x:c r="J63" s="52" t="n">
        <x:v>10</x:v>
      </x:c>
      <x:c r="K63" s="52"/>
      <x:c r="L63" s="52"/>
      <x:c r="M63" s="52"/>
      <x:c r="N63" s="52"/>
      <x:c r="O63" s="52"/>
      <x:c r="P63" s="18" t="str">
        <x:v>C inventory</x:v>
      </x:c>
      <x:c r="Q63" s="18"/>
      <x:c r="R63" s="18" t="str">
        <x:v>https://web.archive.org/web/20091013234435/http://www.electionalmanac.com/canada/newbrunswick/polls.php</x:v>
      </x:c>
      <x:c r="S63" s="18" t="str">
        <x:v>https://en.wikipedia.org/wiki/2010_New_Brunswick_general_election</x:v>
      </x:c>
      <x:c r="T63" s="18"/>
      <x:c r="U63" s="18"/>
      <x:c r="V63" s="29" t="str">
        <x:v>Completeness inventory extracted from linked election poll table. Use only rows separately upgraded to A/B in the core model.</x:v>
      </x:c>
    </x:row>
    <x:row r="64">
      <x:c r="A64" s="18" t="str">
        <x:v>graham-2007-08-01-32</x:v>
      </x:c>
      <x:c r="B64" s="18" t="str">
        <x:v>Graham</x:v>
      </x:c>
      <x:c r="C64" s="18" t="str">
        <x:v>Shawn Graham</x:v>
      </x:c>
      <x:c r="D64" s="18" t="str">
        <x:v>Corporate Research Associates</x:v>
      </x:c>
      <x:c r="E64" s="21" t="n">
        <x:v>39295.416666666664</x:v>
      </x:c>
      <x:c r="F64" s="29" t="str">
        <x:v>Reported party shares; denominator/methodology not verified in index</x:v>
      </x:c>
      <x:c r="G64" s="52" t="n">
        <x:v>60</x:v>
      </x:c>
      <x:c r="H64" s="52" t="n">
        <x:v>30</x:v>
      </x:c>
      <x:c r="I64" s="52" t="n">
        <x:v>2</x:v>
      </x:c>
      <x:c r="J64" s="52" t="n">
        <x:v>7</x:v>
      </x:c>
      <x:c r="K64" s="52"/>
      <x:c r="L64" s="52"/>
      <x:c r="M64" s="52"/>
      <x:c r="N64" s="52"/>
      <x:c r="O64" s="52"/>
      <x:c r="P64" s="18" t="str">
        <x:v>C inventory</x:v>
      </x:c>
      <x:c r="Q64" s="18"/>
      <x:c r="R64" s="18" t="str">
        <x:v>https://web.archive.org/web/20091013234435/http://www.electionalmanac.com/canada/newbrunswick/polls.php</x:v>
      </x:c>
      <x:c r="S64" s="18" t="str">
        <x:v>https://en.wikipedia.org/wiki/2010_New_Brunswick_general_election</x:v>
      </x:c>
      <x:c r="T64" s="18"/>
      <x:c r="U64" s="18"/>
      <x:c r="V64" s="29" t="str">
        <x:v>Completeness inventory extracted from linked election poll table. Use only rows separately upgraded to A/B in the core model.</x:v>
      </x:c>
    </x:row>
    <x:row r="65">
      <x:c r="A65" s="18" t="str">
        <x:v>graham-2007-11-01-31</x:v>
      </x:c>
      <x:c r="B65" s="18" t="str">
        <x:v>Graham</x:v>
      </x:c>
      <x:c r="C65" s="18" t="str">
        <x:v>Shawn Graham</x:v>
      </x:c>
      <x:c r="D65" s="18" t="str">
        <x:v>Corporate Research Associates</x:v>
      </x:c>
      <x:c r="E65" s="21" t="n">
        <x:v>39387.458333333336</x:v>
      </x:c>
      <x:c r="F65" s="29" t="str">
        <x:v>Reported party shares; denominator/methodology not verified in index</x:v>
      </x:c>
      <x:c r="G65" s="52" t="n">
        <x:v>53</x:v>
      </x:c>
      <x:c r="H65" s="52" t="n">
        <x:v>32</x:v>
      </x:c>
      <x:c r="I65" s="52" t="n">
        <x:v>4</x:v>
      </x:c>
      <x:c r="J65" s="52" t="n">
        <x:v>10</x:v>
      </x:c>
      <x:c r="K65" s="52"/>
      <x:c r="L65" s="52"/>
      <x:c r="M65" s="52"/>
      <x:c r="N65" s="52"/>
      <x:c r="O65" s="52"/>
      <x:c r="P65" s="18" t="str">
        <x:v>C inventory</x:v>
      </x:c>
      <x:c r="Q65" s="18"/>
      <x:c r="R65" s="18" t="str">
        <x:v>https://web.archive.org/web/20091013234435/http://www.electionalmanac.com/canada/newbrunswick/polls.php</x:v>
      </x:c>
      <x:c r="S65" s="18" t="str">
        <x:v>https://en.wikipedia.org/wiki/2010_New_Brunswick_general_election</x:v>
      </x:c>
      <x:c r="T65" s="18"/>
      <x:c r="U65" s="18"/>
      <x:c r="V65" s="29" t="str">
        <x:v>Completeness inventory extracted from linked election poll table. Use only rows separately upgraded to A/B in the core model.</x:v>
      </x:c>
    </x:row>
    <x:row r="66">
      <x:c r="A66" s="18" t="str">
        <x:v>graham-2008-02-01-30</x:v>
      </x:c>
      <x:c r="B66" s="18" t="str">
        <x:v>Graham</x:v>
      </x:c>
      <x:c r="C66" s="18" t="str">
        <x:v>Shawn Graham</x:v>
      </x:c>
      <x:c r="D66" s="18" t="str">
        <x:v>Corporate Research Associates</x:v>
      </x:c>
      <x:c r="E66" s="21" t="n">
        <x:v>39479.458333333336</x:v>
      </x:c>
      <x:c r="F66" s="29" t="str">
        <x:v>Reported party shares; denominator/methodology not verified in index</x:v>
      </x:c>
      <x:c r="G66" s="52" t="n">
        <x:v>63</x:v>
      </x:c>
      <x:c r="H66" s="52" t="n">
        <x:v>26</x:v>
      </x:c>
      <x:c r="I66" s="52" t="n">
        <x:v>2</x:v>
      </x:c>
      <x:c r="J66" s="52" t="n">
        <x:v>8</x:v>
      </x:c>
      <x:c r="K66" s="52"/>
      <x:c r="L66" s="52"/>
      <x:c r="M66" s="52"/>
      <x:c r="N66" s="52"/>
      <x:c r="O66" s="52"/>
      <x:c r="P66" s="18" t="str">
        <x:v>C inventory</x:v>
      </x:c>
      <x:c r="Q66" s="18"/>
      <x:c r="R66" s="18" t="str">
        <x:v>https://web.archive.org/web/20091013234435/http://www.electionalmanac.com/canada/newbrunswick/polls.php</x:v>
      </x:c>
      <x:c r="S66" s="18" t="str">
        <x:v>https://en.wikipedia.org/wiki/2010_New_Brunswick_general_election</x:v>
      </x:c>
      <x:c r="T66" s="18"/>
      <x:c r="U66" s="18"/>
      <x:c r="V66" s="29" t="str">
        <x:v>Completeness inventory extracted from linked election poll table. Use only rows separately upgraded to A/B in the core model.</x:v>
      </x:c>
    </x:row>
    <x:row r="67">
      <x:c r="A67" s="18" t="str">
        <x:v>graham-2008-05-01-29</x:v>
      </x:c>
      <x:c r="B67" s="18" t="str">
        <x:v>Graham</x:v>
      </x:c>
      <x:c r="C67" s="18" t="str">
        <x:v>Shawn Graham</x:v>
      </x:c>
      <x:c r="D67" s="18" t="str">
        <x:v>Corporate Research Associates</x:v>
      </x:c>
      <x:c r="E67" s="21" t="n">
        <x:v>39569.416666666664</x:v>
      </x:c>
      <x:c r="F67" s="29" t="str">
        <x:v>Reported party shares; denominator/methodology not verified in index</x:v>
      </x:c>
      <x:c r="G67" s="52" t="n">
        <x:v>51</x:v>
      </x:c>
      <x:c r="H67" s="52" t="n">
        <x:v>36</x:v>
      </x:c>
      <x:c r="I67" s="52" t="n">
        <x:v>2</x:v>
      </x:c>
      <x:c r="J67" s="52" t="n">
        <x:v>11</x:v>
      </x:c>
      <x:c r="K67" s="52"/>
      <x:c r="L67" s="52"/>
      <x:c r="M67" s="52"/>
      <x:c r="N67" s="52"/>
      <x:c r="O67" s="52"/>
      <x:c r="P67" s="18" t="str">
        <x:v>C inventory</x:v>
      </x:c>
      <x:c r="Q67" s="18"/>
      <x:c r="R67" s="18" t="str">
        <x:v>https://web.archive.org/web/20091013234435/http://www.electionalmanac.com/canada/newbrunswick/polls.php</x:v>
      </x:c>
      <x:c r="S67" s="18" t="str">
        <x:v>https://en.wikipedia.org/wiki/2010_New_Brunswick_general_election</x:v>
      </x:c>
      <x:c r="T67" s="18"/>
      <x:c r="U67" s="18"/>
      <x:c r="V67" s="29" t="str">
        <x:v>Completeness inventory extracted from linked election poll table. Use only rows separately upgraded to A/B in the core model.</x:v>
      </x:c>
    </x:row>
    <x:row r="68">
      <x:c r="A68" s="18" t="str">
        <x:v>graham-2008-08-01-28</x:v>
      </x:c>
      <x:c r="B68" s="18" t="str">
        <x:v>Graham</x:v>
      </x:c>
      <x:c r="C68" s="18" t="str">
        <x:v>Shawn Graham</x:v>
      </x:c>
      <x:c r="D68" s="18" t="str">
        <x:v>Corporate Research Associates</x:v>
      </x:c>
      <x:c r="E68" s="21" t="n">
        <x:v>39661.416666666664</x:v>
      </x:c>
      <x:c r="F68" s="29" t="str">
        <x:v>Reported party shares; denominator/methodology not verified in index</x:v>
      </x:c>
      <x:c r="G68" s="52" t="n">
        <x:v>49</x:v>
      </x:c>
      <x:c r="H68" s="52" t="n">
        <x:v>34</x:v>
      </x:c>
      <x:c r="I68" s="52" t="n">
        <x:v>4</x:v>
      </x:c>
      <x:c r="J68" s="52" t="n">
        <x:v>14</x:v>
      </x:c>
      <x:c r="K68" s="52"/>
      <x:c r="L68" s="52"/>
      <x:c r="M68" s="52"/>
      <x:c r="N68" s="52"/>
      <x:c r="O68" s="52"/>
      <x:c r="P68" s="18" t="str">
        <x:v>C inventory</x:v>
      </x:c>
      <x:c r="Q68" s="18"/>
      <x:c r="R68" s="18" t="str">
        <x:v>https://web.archive.org/web/20091013234435/http://www.electionalmanac.com/canada/newbrunswick/polls.php</x:v>
      </x:c>
      <x:c r="S68" s="18" t="str">
        <x:v>https://en.wikipedia.org/wiki/2010_New_Brunswick_general_election</x:v>
      </x:c>
      <x:c r="T68" s="18"/>
      <x:c r="U68" s="18"/>
      <x:c r="V68" s="29" t="str">
        <x:v>Completeness inventory extracted from linked election poll table. Use only rows separately upgraded to A/B in the core model.</x:v>
      </x:c>
    </x:row>
    <x:row r="69">
      <x:c r="A69" s="18" t="str">
        <x:v>graham-2008-11-01-27</x:v>
      </x:c>
      <x:c r="B69" s="18" t="str">
        <x:v>Graham</x:v>
      </x:c>
      <x:c r="C69" s="18" t="str">
        <x:v>Shawn Graham</x:v>
      </x:c>
      <x:c r="D69" s="18" t="str">
        <x:v>Corporate Research Associates</x:v>
      </x:c>
      <x:c r="E69" s="21" t="n">
        <x:v>39753.458333333336</x:v>
      </x:c>
      <x:c r="F69" s="29" t="str">
        <x:v>Reported party shares; denominator/methodology not verified in index</x:v>
      </x:c>
      <x:c r="G69" s="52" t="n">
        <x:v>45</x:v>
      </x:c>
      <x:c r="H69" s="52" t="n">
        <x:v>38</x:v>
      </x:c>
      <x:c r="I69" s="52" t="n">
        <x:v>4</x:v>
      </x:c>
      <x:c r="J69" s="52" t="n">
        <x:v>13</x:v>
      </x:c>
      <x:c r="K69" s="52"/>
      <x:c r="L69" s="52"/>
      <x:c r="M69" s="52"/>
      <x:c r="N69" s="52"/>
      <x:c r="O69" s="52"/>
      <x:c r="P69" s="18" t="str">
        <x:v>C inventory</x:v>
      </x:c>
      <x:c r="Q69" s="18"/>
      <x:c r="R69" s="18" t="str">
        <x:v>https://web.archive.org/web/20091013234435/http://www.electionalmanac.com/canada/newbrunswick/polls.php</x:v>
      </x:c>
      <x:c r="S69" s="18" t="str">
        <x:v>https://en.wikipedia.org/wiki/2010_New_Brunswick_general_election</x:v>
      </x:c>
      <x:c r="T69" s="18"/>
      <x:c r="U69" s="18"/>
      <x:c r="V69" s="29" t="str">
        <x:v>Completeness inventory extracted from linked election poll table. Use only rows separately upgraded to A/B in the core model.</x:v>
      </x:c>
    </x:row>
    <x:row r="70">
      <x:c r="A70" s="18" t="str">
        <x:v>graham-2009-02-01-26</x:v>
      </x:c>
      <x:c r="B70" s="18" t="str">
        <x:v>Graham</x:v>
      </x:c>
      <x:c r="C70" s="18" t="str">
        <x:v>Shawn Graham</x:v>
      </x:c>
      <x:c r="D70" s="18" t="str">
        <x:v>Corporate Research Associates</x:v>
      </x:c>
      <x:c r="E70" s="21" t="n">
        <x:v>39845.458333333336</x:v>
      </x:c>
      <x:c r="F70" s="29" t="str">
        <x:v>Reported party shares; denominator/methodology not verified in index</x:v>
      </x:c>
      <x:c r="G70" s="52" t="n">
        <x:v>50</x:v>
      </x:c>
      <x:c r="H70" s="52" t="n">
        <x:v>34</x:v>
      </x:c>
      <x:c r="I70" s="52" t="n">
        <x:v>3</x:v>
      </x:c>
      <x:c r="J70" s="52" t="n">
        <x:v>13</x:v>
      </x:c>
      <x:c r="K70" s="52"/>
      <x:c r="L70" s="52"/>
      <x:c r="M70" s="52"/>
      <x:c r="N70" s="52"/>
      <x:c r="O70" s="52"/>
      <x:c r="P70" s="18" t="str">
        <x:v>C inventory</x:v>
      </x:c>
      <x:c r="Q70" s="18"/>
      <x:c r="R70" s="18" t="str">
        <x:v>https://web.archive.org/web/20091013234435/http://www.electionalmanac.com/canada/newbrunswick/polls.php</x:v>
      </x:c>
      <x:c r="S70" s="18" t="str">
        <x:v>https://en.wikipedia.org/wiki/2010_New_Brunswick_general_election</x:v>
      </x:c>
      <x:c r="T70" s="18"/>
      <x:c r="U70" s="18"/>
      <x:c r="V70" s="29" t="str">
        <x:v>Completeness inventory extracted from linked election poll table. Use only rows separately upgraded to A/B in the core model.</x:v>
      </x:c>
    </x:row>
    <x:row r="71">
      <x:c r="A71" s="18" t="str">
        <x:v>graham-2009-05-01-25</x:v>
      </x:c>
      <x:c r="B71" s="18" t="str">
        <x:v>Graham</x:v>
      </x:c>
      <x:c r="C71" s="18" t="str">
        <x:v>Shawn Graham</x:v>
      </x:c>
      <x:c r="D71" s="18" t="str">
        <x:v>Corporate Research Associates</x:v>
      </x:c>
      <x:c r="E71" s="21" t="n">
        <x:v>39934.416666666664</x:v>
      </x:c>
      <x:c r="F71" s="29" t="str">
        <x:v>Reported party shares; denominator/methodology not verified in index</x:v>
      </x:c>
      <x:c r="G71" s="52" t="n">
        <x:v>41</x:v>
      </x:c>
      <x:c r="H71" s="52" t="n">
        <x:v>40</x:v>
      </x:c>
      <x:c r="I71" s="52" t="n">
        <x:v>3</x:v>
      </x:c>
      <x:c r="J71" s="52" t="n">
        <x:v>16</x:v>
      </x:c>
      <x:c r="K71" s="52"/>
      <x:c r="L71" s="52"/>
      <x:c r="M71" s="52"/>
      <x:c r="N71" s="52"/>
      <x:c r="O71" s="52"/>
      <x:c r="P71" s="18" t="str">
        <x:v>C inventory</x:v>
      </x:c>
      <x:c r="Q71" s="18"/>
      <x:c r="R71" s="18" t="str">
        <x:v>https://web.archive.org/web/20091013234435/http://www.electionalmanac.com/canada/newbrunswick/polls.php</x:v>
      </x:c>
      <x:c r="S71" s="18" t="str">
        <x:v>https://en.wikipedia.org/wiki/2010_New_Brunswick_general_election</x:v>
      </x:c>
      <x:c r="T71" s="18"/>
      <x:c r="U71" s="18"/>
      <x:c r="V71" s="29" t="str">
        <x:v>Completeness inventory extracted from linked election poll table. Use only rows separately upgraded to A/B in the core model.</x:v>
      </x:c>
    </x:row>
    <x:row r="72">
      <x:c r="A72" s="18" t="str">
        <x:v>graham-2009-09-01-24</x:v>
      </x:c>
      <x:c r="B72" s="18" t="str">
        <x:v>Graham</x:v>
      </x:c>
      <x:c r="C72" s="18" t="str">
        <x:v>Shawn Graham</x:v>
      </x:c>
      <x:c r="D72" s="18" t="str">
        <x:v>Corporate Research Associates</x:v>
      </x:c>
      <x:c r="E72" s="21" t="n">
        <x:v>40057.416666666664</x:v>
      </x:c>
      <x:c r="F72" s="29" t="str">
        <x:v>Reported party shares; denominator/methodology not verified in index</x:v>
      </x:c>
      <x:c r="G72" s="52" t="n">
        <x:v>41</x:v>
      </x:c>
      <x:c r="H72" s="52" t="n">
        <x:v>35</x:v>
      </x:c>
      <x:c r="I72" s="52" t="n">
        <x:v>2</x:v>
      </x:c>
      <x:c r="J72" s="52" t="n">
        <x:v>22</x:v>
      </x:c>
      <x:c r="K72" s="52"/>
      <x:c r="L72" s="52"/>
      <x:c r="M72" s="52"/>
      <x:c r="N72" s="52"/>
      <x:c r="O72" s="52"/>
      <x:c r="P72" s="18" t="str">
        <x:v>C inventory</x:v>
      </x:c>
      <x:c r="Q72" s="18" t="str">
        <x:v>https://www.cbc.ca/news/canada/new-brunswick/n-b-grit-support-steady-ndp-gains-poll-1.814368</x:v>
      </x:c>
      <x:c r="R72" s="18"/>
      <x:c r="S72" s="18" t="str">
        <x:v>https://en.wikipedia.org/wiki/2010_New_Brunswick_general_election</x:v>
      </x:c>
      <x:c r="T72" s="18"/>
      <x:c r="U72" s="18"/>
      <x:c r="V72" s="29" t="str">
        <x:v>Completeness inventory extracted from linked election poll table. Use only rows separately upgraded to A/B in the core model.</x:v>
      </x:c>
    </x:row>
    <x:row r="73">
      <x:c r="A73" s="18" t="str">
        <x:v>graham-2009-11-22-23</x:v>
      </x:c>
      <x:c r="B73" s="18" t="str">
        <x:v>Graham</x:v>
      </x:c>
      <x:c r="C73" s="18" t="str">
        <x:v>Shawn Graham</x:v>
      </x:c>
      <x:c r="D73" s="18" t="str">
        <x:v>Léger Marketing</x:v>
      </x:c>
      <x:c r="E73" s="21" t="n">
        <x:v>40139.458333333336</x:v>
      </x:c>
      <x:c r="F73" s="29" t="str">
        <x:v>Reported party shares; denominator/methodology not verified in index</x:v>
      </x:c>
      <x:c r="G73" s="52" t="n">
        <x:v>33</x:v>
      </x:c>
      <x:c r="H73" s="52" t="n">
        <x:v>45</x:v>
      </x:c>
      <x:c r="I73" s="52"/>
      <x:c r="J73" s="52" t="n">
        <x:v>19</x:v>
      </x:c>
      <x:c r="K73" s="52"/>
      <x:c r="L73" s="52"/>
      <x:c r="M73" s="52"/>
      <x:c r="N73" s="52"/>
      <x:c r="O73" s="52"/>
      <x:c r="P73" s="18" t="str">
        <x:v>C inventory</x:v>
      </x:c>
      <x:c r="Q73" s="18"/>
      <x:c r="R73" s="18" t="str">
        <x:v>https://web.archive.org/web/20110617060323/http://www.legermarketing.com/documents/SPCLM/0911231FR.pdf</x:v>
      </x:c>
      <x:c r="S73" s="18" t="str">
        <x:v>https://en.wikipedia.org/wiki/2010_New_Brunswick_general_election</x:v>
      </x:c>
      <x:c r="T73" s="18"/>
      <x:c r="U73" s="18"/>
      <x:c r="V73" s="29" t="str">
        <x:v>Completeness inventory extracted from linked election poll table. Use only rows separately upgraded to A/B in the core model.</x:v>
      </x:c>
    </x:row>
    <x:row r="74">
      <x:c r="A74" s="18" t="str">
        <x:v>graham-2009-12-02-22</x:v>
      </x:c>
      <x:c r="B74" s="18" t="str">
        <x:v>Graham</x:v>
      </x:c>
      <x:c r="C74" s="18" t="str">
        <x:v>Shawn Graham</x:v>
      </x:c>
      <x:c r="D74" s="18" t="str">
        <x:v>Corporate Research Associates</x:v>
      </x:c>
      <x:c r="E74" s="21" t="n">
        <x:v>40149.458333333336</x:v>
      </x:c>
      <x:c r="F74" s="29" t="str">
        <x:v>Reported party shares; denominator/methodology not verified in index</x:v>
      </x:c>
      <x:c r="G74" s="52" t="n">
        <x:v>36</x:v>
      </x:c>
      <x:c r="H74" s="52" t="n">
        <x:v>46</x:v>
      </x:c>
      <x:c r="I74" s="52" t="n">
        <x:v>4</x:v>
      </x:c>
      <x:c r="J74" s="52" t="n">
        <x:v>14</x:v>
      </x:c>
      <x:c r="K74" s="52"/>
      <x:c r="L74" s="52"/>
      <x:c r="M74" s="52"/>
      <x:c r="N74" s="52"/>
      <x:c r="O74" s="52"/>
      <x:c r="P74" s="18" t="str">
        <x:v>C inventory</x:v>
      </x:c>
      <x:c r="Q74" s="18" t="str">
        <x:v>http://www.cbc.ca/news/pdf/09-4-cra.pdf</x:v>
      </x:c>
      <x:c r="R74" s="18"/>
      <x:c r="S74" s="18" t="str">
        <x:v>https://en.wikipedia.org/wiki/2010_New_Brunswick_general_election</x:v>
      </x:c>
      <x:c r="T74" s="18"/>
      <x:c r="U74" s="18"/>
      <x:c r="V74" s="29" t="str">
        <x:v>Completeness inventory extracted from linked election poll table. Use only rows separately upgraded to A/B in the core model.</x:v>
      </x:c>
    </x:row>
    <x:row r="75">
      <x:c r="A75" s="18" t="str">
        <x:v>graham-2010-03-09-21</x:v>
      </x:c>
      <x:c r="B75" s="18" t="str">
        <x:v>Graham</x:v>
      </x:c>
      <x:c r="C75" s="18" t="str">
        <x:v>Shawn Graham</x:v>
      </x:c>
      <x:c r="D75" s="18" t="str">
        <x:v>Corporate Research Associates</x:v>
      </x:c>
      <x:c r="E75" s="21" t="n">
        <x:v>40246.458333333336</x:v>
      </x:c>
      <x:c r="F75" s="29" t="str">
        <x:v>Reported party shares; denominator/methodology not verified in index</x:v>
      </x:c>
      <x:c r="G75" s="52" t="n">
        <x:v>36</x:v>
      </x:c>
      <x:c r="H75" s="52" t="n">
        <x:v>42</x:v>
      </x:c>
      <x:c r="I75" s="52" t="n">
        <x:v>4</x:v>
      </x:c>
      <x:c r="J75" s="52" t="n">
        <x:v>18</x:v>
      </x:c>
      <x:c r="K75" s="52"/>
      <x:c r="L75" s="52"/>
      <x:c r="M75" s="52"/>
      <x:c r="N75" s="52"/>
      <x:c r="O75" s="52"/>
      <x:c r="P75" s="18" t="str">
        <x:v>C inventory</x:v>
      </x:c>
      <x:c r="Q75" s="18" t="str">
        <x:v>http://www.cbc.ca/news/pdf/10-1-nb-press-release.pdf</x:v>
      </x:c>
      <x:c r="R75" s="18"/>
      <x:c r="S75" s="18" t="str">
        <x:v>https://en.wikipedia.org/wiki/2010_New_Brunswick_general_election</x:v>
      </x:c>
      <x:c r="T75" s="18"/>
      <x:c r="U75" s="18"/>
      <x:c r="V75" s="29" t="str">
        <x:v>Completeness inventory extracted from linked election poll table. Use only rows separately upgraded to A/B in the core model.</x:v>
      </x:c>
    </x:row>
    <x:row r="76">
      <x:c r="A76" s="18" t="str">
        <x:v>graham-2010-05-31-20</x:v>
      </x:c>
      <x:c r="B76" s="18" t="str">
        <x:v>Graham</x:v>
      </x:c>
      <x:c r="C76" s="18" t="str">
        <x:v>Shawn Graham</x:v>
      </x:c>
      <x:c r="D76" s="18" t="str">
        <x:v>Corporate Research Associates</x:v>
      </x:c>
      <x:c r="E76" s="21" t="n">
        <x:v>40329.416666666664</x:v>
      </x:c>
      <x:c r="F76" s="29" t="str">
        <x:v>Reported party shares; denominator/methodology not verified in index</x:v>
      </x:c>
      <x:c r="G76" s="52" t="n">
        <x:v>37</x:v>
      </x:c>
      <x:c r="H76" s="52" t="n">
        <x:v>42</x:v>
      </x:c>
      <x:c r="I76" s="52" t="n">
        <x:v>5</x:v>
      </x:c>
      <x:c r="J76" s="52" t="n">
        <x:v>16</x:v>
      </x:c>
      <x:c r="K76" s="52"/>
      <x:c r="L76" s="52"/>
      <x:c r="M76" s="52"/>
      <x:c r="N76" s="52"/>
      <x:c r="O76" s="52"/>
      <x:c r="P76" s="18" t="str">
        <x:v>C inventory</x:v>
      </x:c>
      <x:c r="Q76" s="18" t="str">
        <x:v>http://www.cra.ca/site-cra/media/CRA/10-2%20NB%20WEB%20TABLES.pdf</x:v>
      </x:c>
      <x:c r="R76" s="18" t="str">
        <x:v>https://web.archive.org/web/20110706174638/http://www.cra.ca/site-cra/media/CRA/10-2%20NB%20WEB%20TABLES.pdf</x:v>
      </x:c>
      <x:c r="S76" s="18" t="str">
        <x:v>https://en.wikipedia.org/wiki/2010_New_Brunswick_general_election</x:v>
      </x:c>
      <x:c r="T76" s="18"/>
      <x:c r="U76" s="18"/>
      <x:c r="V76" s="29" t="str">
        <x:v>Completeness inventory extracted from linked election poll table. Use only rows separately upgraded to A/B in the core model.</x:v>
      </x:c>
    </x:row>
    <x:row r="77">
      <x:c r="A77" s="18" t="str">
        <x:v>graham-2010-08-24-19</x:v>
      </x:c>
      <x:c r="B77" s="18" t="str">
        <x:v>Graham</x:v>
      </x:c>
      <x:c r="C77" s="18" t="str">
        <x:v>Shawn Graham</x:v>
      </x:c>
      <x:c r="D77" s="18" t="str">
        <x:v>Corporate Research Associates</x:v>
      </x:c>
      <x:c r="E77" s="21" t="n">
        <x:v>40414.416666666664</x:v>
      </x:c>
      <x:c r="F77" s="29" t="str">
        <x:v>Reported party shares; denominator/methodology not verified in index</x:v>
      </x:c>
      <x:c r="G77" s="52" t="n">
        <x:v>41</x:v>
      </x:c>
      <x:c r="H77" s="52" t="n">
        <x:v>36</x:v>
      </x:c>
      <x:c r="I77" s="52" t="n">
        <x:v>6</x:v>
      </x:c>
      <x:c r="J77" s="52" t="n">
        <x:v>16</x:v>
      </x:c>
      <x:c r="K77" s="52" t="n">
        <x:v>1</x:v>
      </x:c>
      <x:c r="L77" s="52"/>
      <x:c r="M77" s="52"/>
      <x:c r="N77" s="52"/>
      <x:c r="O77" s="52"/>
      <x:c r="P77" s="18" t="str">
        <x:v>C inventory</x:v>
      </x:c>
      <x:c r="Q77" s="18" t="str">
        <x:v>http://www.cra.ca/site-cra/media/CRA/10-3%20NB%20Tables.pdf</x:v>
      </x:c>
      <x:c r="R77" s="18" t="str">
        <x:v>https://web.archive.org/web/20101223212945/http://www.cra.ca/site-cra/media/CRA/10-3%20NB%20Tables.pdf</x:v>
      </x:c>
      <x:c r="S77" s="18" t="str">
        <x:v>https://en.wikipedia.org/wiki/2010_New_Brunswick_general_election</x:v>
      </x:c>
      <x:c r="T77" s="18"/>
      <x:c r="U77" s="18"/>
      <x:c r="V77" s="29" t="str">
        <x:v>Completeness inventory extracted from linked election poll table. Use only rows separately upgraded to A/B in the core model.</x:v>
      </x:c>
    </x:row>
    <x:row r="78">
      <x:c r="A78" s="18" t="str">
        <x:v>graham-2010-09-01-18</x:v>
      </x:c>
      <x:c r="B78" s="18" t="str">
        <x:v>Graham</x:v>
      </x:c>
      <x:c r="C78" s="18" t="str">
        <x:v>Shawn Graham</x:v>
      </x:c>
      <x:c r="D78" s="18" t="str">
        <x:v>Corporate Research Associates</x:v>
      </x:c>
      <x:c r="E78" s="21" t="n">
        <x:v>40422.416666666664</x:v>
      </x:c>
      <x:c r="F78" s="29" t="str">
        <x:v>Reported party shares; denominator/methodology not verified in index</x:v>
      </x:c>
      <x:c r="G78" s="52" t="n">
        <x:v>42</x:v>
      </x:c>
      <x:c r="H78" s="52" t="n">
        <x:v>43</x:v>
      </x:c>
      <x:c r="I78" s="52" t="n">
        <x:v>3</x:v>
      </x:c>
      <x:c r="J78" s="52" t="n">
        <x:v>10</x:v>
      </x:c>
      <x:c r="K78" s="52" t="n">
        <x:v>2</x:v>
      </x:c>
      <x:c r="L78" s="52"/>
      <x:c r="M78" s="52"/>
      <x:c r="N78" s="52"/>
      <x:c r="O78" s="52"/>
      <x:c r="P78" s="18" t="str">
        <x:v>C inventory</x:v>
      </x:c>
      <x:c r="Q78" s="18" t="str">
        <x:v>https://threehundredeight.blogspot.com/2010/09/pc-lead-of-one-point-holds.html</x:v>
      </x:c>
      <x:c r="R78" s="18"/>
      <x:c r="S78" s="18" t="str">
        <x:v>https://en.wikipedia.org/wiki/2010_New_Brunswick_general_election</x:v>
      </x:c>
      <x:c r="T78" s="18"/>
      <x:c r="U78" s="18"/>
      <x:c r="V78" s="29" t="str">
        <x:v>Completeness inventory extracted from linked election poll table. Use only rows separately upgraded to A/B in the core model.</x:v>
      </x:c>
    </x:row>
    <x:row r="79">
      <x:c r="A79" s="18" t="str">
        <x:v>graham-2010-09-04-17</x:v>
      </x:c>
      <x:c r="B79" s="18" t="str">
        <x:v>Graham</x:v>
      </x:c>
      <x:c r="C79" s="18" t="str">
        <x:v>Shawn Graham</x:v>
      </x:c>
      <x:c r="D79" s="18" t="str">
        <x:v>Corporate Research Associates</x:v>
      </x:c>
      <x:c r="E79" s="21" t="n">
        <x:v>40425.416666666664</x:v>
      </x:c>
      <x:c r="F79" s="29" t="str">
        <x:v>Reported party shares; denominator/methodology not verified in index</x:v>
      </x:c>
      <x:c r="G79" s="52" t="n">
        <x:v>43</x:v>
      </x:c>
      <x:c r="H79" s="52" t="n">
        <x:v>42</x:v>
      </x:c>
      <x:c r="I79" s="52" t="n">
        <x:v>4</x:v>
      </x:c>
      <x:c r="J79" s="52" t="n">
        <x:v>10</x:v>
      </x:c>
      <x:c r="K79" s="52" t="n">
        <x:v>1</x:v>
      </x:c>
      <x:c r="L79" s="52"/>
      <x:c r="M79" s="52"/>
      <x:c r="N79" s="52"/>
      <x:c r="O79" s="52"/>
      <x:c r="P79" s="18" t="str">
        <x:v>C inventory</x:v>
      </x:c>
      <x:c r="Q79" s="18" t="str">
        <x:v>https://threehundredeight.blogspot.com/2010/09/liberals-now-lead-by-one.html</x:v>
      </x:c>
      <x:c r="R79" s="18"/>
      <x:c r="S79" s="18" t="str">
        <x:v>https://en.wikipedia.org/wiki/2010_New_Brunswick_general_election</x:v>
      </x:c>
      <x:c r="T79" s="18"/>
      <x:c r="U79" s="18"/>
      <x:c r="V79" s="29" t="str">
        <x:v>Completeness inventory extracted from linked election poll table. Use only rows separately upgraded to A/B in the core model.</x:v>
      </x:c>
    </x:row>
    <x:row r="80">
      <x:c r="A80" s="18" t="str">
        <x:v>graham-2010-09-05-16</x:v>
      </x:c>
      <x:c r="B80" s="18" t="str">
        <x:v>Graham</x:v>
      </x:c>
      <x:c r="C80" s="18" t="str">
        <x:v>Shawn Graham</x:v>
      </x:c>
      <x:c r="D80" s="18" t="str">
        <x:v>Corporate Research Associates</x:v>
      </x:c>
      <x:c r="E80" s="21" t="n">
        <x:v>40426.416666666664</x:v>
      </x:c>
      <x:c r="F80" s="29" t="str">
        <x:v>Reported party shares; denominator/methodology not verified in index</x:v>
      </x:c>
      <x:c r="G80" s="52" t="n">
        <x:v>43</x:v>
      </x:c>
      <x:c r="H80" s="52" t="n">
        <x:v>41</x:v>
      </x:c>
      <x:c r="I80" s="52" t="n">
        <x:v>4</x:v>
      </x:c>
      <x:c r="J80" s="52" t="n">
        <x:v>11</x:v>
      </x:c>
      <x:c r="K80" s="52" t="n">
        <x:v>1</x:v>
      </x:c>
      <x:c r="L80" s="52"/>
      <x:c r="M80" s="52"/>
      <x:c r="N80" s="52"/>
      <x:c r="O80" s="52"/>
      <x:c r="P80" s="18" t="str">
        <x:v>C inventory</x:v>
      </x:c>
      <x:c r="Q80" s="18" t="str">
        <x:v>https://threehundredeight.blogspot.com/2010/09/liberals-extend-gap-to-two-points.html</x:v>
      </x:c>
      <x:c r="R80" s="18"/>
      <x:c r="S80" s="18" t="str">
        <x:v>https://en.wikipedia.org/wiki/2010_New_Brunswick_general_election</x:v>
      </x:c>
      <x:c r="T80" s="18"/>
      <x:c r="U80" s="18"/>
      <x:c r="V80" s="29" t="str">
        <x:v>Completeness inventory extracted from linked election poll table. Use only rows separately upgraded to A/B in the core model.</x:v>
      </x:c>
    </x:row>
    <x:row r="81">
      <x:c r="A81" s="18" t="str">
        <x:v>graham-2010-09-06-15</x:v>
      </x:c>
      <x:c r="B81" s="18" t="str">
        <x:v>Graham</x:v>
      </x:c>
      <x:c r="C81" s="18" t="str">
        <x:v>Shawn Graham</x:v>
      </x:c>
      <x:c r="D81" s="18" t="str">
        <x:v>Corporate Research Associates</x:v>
      </x:c>
      <x:c r="E81" s="21" t="n">
        <x:v>40427.416666666664</x:v>
      </x:c>
      <x:c r="F81" s="29" t="str">
        <x:v>Reported party shares; denominator/methodology not verified in index</x:v>
      </x:c>
      <x:c r="G81" s="52" t="n">
        <x:v>43</x:v>
      </x:c>
      <x:c r="H81" s="52" t="n">
        <x:v>41</x:v>
      </x:c>
      <x:c r="I81" s="52" t="n">
        <x:v>4</x:v>
      </x:c>
      <x:c r="J81" s="52" t="n">
        <x:v>11</x:v>
      </x:c>
      <x:c r="K81" s="52" t="n">
        <x:v>1</x:v>
      </x:c>
      <x:c r="L81" s="52"/>
      <x:c r="M81" s="52"/>
      <x:c r="N81" s="52"/>
      <x:c r="O81" s="52"/>
      <x:c r="P81" s="18" t="str">
        <x:v>C inventory</x:v>
      </x:c>
      <x:c r="Q81" s="18" t="str">
        <x:v>https://threehundredeight.blogspot.com/2010/09/nb-liberals-hold-steady.html</x:v>
      </x:c>
      <x:c r="R81" s="18"/>
      <x:c r="S81" s="18" t="str">
        <x:v>https://en.wikipedia.org/wiki/2010_New_Brunswick_general_election</x:v>
      </x:c>
      <x:c r="T81" s="18"/>
      <x:c r="U81" s="18"/>
      <x:c r="V81" s="29" t="str">
        <x:v>Completeness inventory extracted from linked election poll table. Use only rows separately upgraded to A/B in the core model.</x:v>
      </x:c>
    </x:row>
    <x:row r="82">
      <x:c r="A82" s="18" t="str">
        <x:v>graham-2010-09-07-14</x:v>
      </x:c>
      <x:c r="B82" s="18" t="str">
        <x:v>Graham</x:v>
      </x:c>
      <x:c r="C82" s="18" t="str">
        <x:v>Shawn Graham</x:v>
      </x:c>
      <x:c r="D82" s="18" t="str">
        <x:v>Corporate Research Associates</x:v>
      </x:c>
      <x:c r="E82" s="21" t="n">
        <x:v>40428.416666666664</x:v>
      </x:c>
      <x:c r="F82" s="29" t="str">
        <x:v>Reported party shares; denominator/methodology not verified in index</x:v>
      </x:c>
      <x:c r="G82" s="52" t="n">
        <x:v>43</x:v>
      </x:c>
      <x:c r="H82" s="52" t="n">
        <x:v>43</x:v>
      </x:c>
      <x:c r="I82" s="52" t="n">
        <x:v>3</x:v>
      </x:c>
      <x:c r="J82" s="52" t="n">
        <x:v>11</x:v>
      </x:c>
      <x:c r="K82" s="52" t="n">
        <x:v>0</x:v>
      </x:c>
      <x:c r="L82" s="52"/>
      <x:c r="M82" s="52"/>
      <x:c r="N82" s="52"/>
      <x:c r="O82" s="52"/>
      <x:c r="P82" s="18" t="str">
        <x:v>C inventory</x:v>
      </x:c>
      <x:c r="Q82" s="18" t="str">
        <x:v>https://threehundredeight.blogspot.com/2010/09/progressive-conservatives-tie-it-up.html</x:v>
      </x:c>
      <x:c r="R82" s="18"/>
      <x:c r="S82" s="18" t="str">
        <x:v>https://en.wikipedia.org/wiki/2010_New_Brunswick_general_election</x:v>
      </x:c>
      <x:c r="T82" s="18"/>
      <x:c r="U82" s="18"/>
      <x:c r="V82" s="29" t="str">
        <x:v>Completeness inventory extracted from linked election poll table. Use only rows separately upgraded to A/B in the core model.</x:v>
      </x:c>
    </x:row>
    <x:row r="83">
      <x:c r="A83" s="18" t="str">
        <x:v>graham-2010-09-08-13</x:v>
      </x:c>
      <x:c r="B83" s="18" t="str">
        <x:v>Graham</x:v>
      </x:c>
      <x:c r="C83" s="18" t="str">
        <x:v>Shawn Graham</x:v>
      </x:c>
      <x:c r="D83" s="18" t="str">
        <x:v>Corporate Research Associates</x:v>
      </x:c>
      <x:c r="E83" s="21" t="n">
        <x:v>40429.416666666664</x:v>
      </x:c>
      <x:c r="F83" s="29" t="str">
        <x:v>Reported party shares; denominator/methodology not verified in index</x:v>
      </x:c>
      <x:c r="G83" s="52" t="n">
        <x:v>43</x:v>
      </x:c>
      <x:c r="H83" s="52" t="n">
        <x:v>45</x:v>
      </x:c>
      <x:c r="I83" s="52" t="n">
        <x:v>3</x:v>
      </x:c>
      <x:c r="J83" s="52" t="n">
        <x:v>8</x:v>
      </x:c>
      <x:c r="K83" s="52" t="n">
        <x:v>0</x:v>
      </x:c>
      <x:c r="L83" s="52"/>
      <x:c r="M83" s="52"/>
      <x:c r="N83" s="52"/>
      <x:c r="O83" s="52"/>
      <x:c r="P83" s="18" t="str">
        <x:v>C inventory</x:v>
      </x:c>
      <x:c r="Q83" s="18" t="str">
        <x:v>https://threehundredeight.blogspot.com/2010/09/progressive-conservatives-make-gains.html</x:v>
      </x:c>
      <x:c r="R83" s="18"/>
      <x:c r="S83" s="18" t="str">
        <x:v>https://en.wikipedia.org/wiki/2010_New_Brunswick_general_election</x:v>
      </x:c>
      <x:c r="T83" s="18"/>
      <x:c r="U83" s="18"/>
      <x:c r="V83" s="29" t="str">
        <x:v>Completeness inventory extracted from linked election poll table. Use only rows separately upgraded to A/B in the core model.</x:v>
      </x:c>
    </x:row>
    <x:row r="84">
      <x:c r="A84" s="18" t="str">
        <x:v>graham-2010-09-09-12</x:v>
      </x:c>
      <x:c r="B84" s="18" t="str">
        <x:v>Graham</x:v>
      </x:c>
      <x:c r="C84" s="18" t="str">
        <x:v>Shawn Graham</x:v>
      </x:c>
      <x:c r="D84" s="18" t="str">
        <x:v>Corporate Research Associates</x:v>
      </x:c>
      <x:c r="E84" s="21" t="n">
        <x:v>40430.416666666664</x:v>
      </x:c>
      <x:c r="F84" s="29" t="str">
        <x:v>Reported party shares; denominator/methodology not verified in index</x:v>
      </x:c>
      <x:c r="G84" s="52" t="n">
        <x:v>41</x:v>
      </x:c>
      <x:c r="H84" s="52" t="n">
        <x:v>45</x:v>
      </x:c>
      <x:c r="I84" s="52" t="n">
        <x:v>4</x:v>
      </x:c>
      <x:c r="J84" s="52" t="n">
        <x:v>9</x:v>
      </x:c>
      <x:c r="K84" s="52" t="n">
        <x:v>0</x:v>
      </x:c>
      <x:c r="L84" s="52"/>
      <x:c r="M84" s="52"/>
      <x:c r="N84" s="52"/>
      <x:c r="O84" s="52"/>
      <x:c r="P84" s="18" t="str">
        <x:v>C inventory</x:v>
      </x:c>
      <x:c r="Q84" s="18" t="str">
        <x:v>https://threehundredeight.blogspot.com/2010/09/nb-liberals-fall-back-as-pcs-take-solid.html</x:v>
      </x:c>
      <x:c r="R84" s="18"/>
      <x:c r="S84" s="18" t="str">
        <x:v>https://en.wikipedia.org/wiki/2010_New_Brunswick_general_election</x:v>
      </x:c>
      <x:c r="T84" s="18"/>
      <x:c r="U84" s="18"/>
      <x:c r="V84" s="29" t="str">
        <x:v>Completeness inventory extracted from linked election poll table. Use only rows separately upgraded to A/B in the core model.</x:v>
      </x:c>
    </x:row>
    <x:row r="85">
      <x:c r="A85" s="18" t="str">
        <x:v>graham-2010-09-11-11</x:v>
      </x:c>
      <x:c r="B85" s="18" t="str">
        <x:v>Graham</x:v>
      </x:c>
      <x:c r="C85" s="18" t="str">
        <x:v>Shawn Graham</x:v>
      </x:c>
      <x:c r="D85" s="18" t="str">
        <x:v>Corporate Research Associates</x:v>
      </x:c>
      <x:c r="E85" s="21" t="n">
        <x:v>40432.416666666664</x:v>
      </x:c>
      <x:c r="F85" s="29" t="str">
        <x:v>Reported party shares; denominator/methodology not verified in index</x:v>
      </x:c>
      <x:c r="G85" s="52" t="n">
        <x:v>41</x:v>
      </x:c>
      <x:c r="H85" s="52" t="n">
        <x:v>46</x:v>
      </x:c>
      <x:c r="I85" s="52" t="n">
        <x:v>4</x:v>
      </x:c>
      <x:c r="J85" s="52" t="n">
        <x:v>9</x:v>
      </x:c>
      <x:c r="K85" s="52" t="n">
        <x:v>0</x:v>
      </x:c>
      <x:c r="L85" s="52"/>
      <x:c r="M85" s="52"/>
      <x:c r="N85" s="52"/>
      <x:c r="O85" s="52"/>
      <x:c r="P85" s="18" t="str">
        <x:v>C inventory</x:v>
      </x:c>
      <x:c r="Q85" s="18" t="str">
        <x:v>https://threehundredeight.blogspot.com/2010/09/pcs-extend-lead-to-five-points.html</x:v>
      </x:c>
      <x:c r="R85" s="18"/>
      <x:c r="S85" s="18" t="str">
        <x:v>https://en.wikipedia.org/wiki/2010_New_Brunswick_general_election</x:v>
      </x:c>
      <x:c r="T85" s="18"/>
      <x:c r="U85" s="18"/>
      <x:c r="V85" s="29" t="str">
        <x:v>Completeness inventory extracted from linked election poll table. Use only rows separately upgraded to A/B in the core model.</x:v>
      </x:c>
    </x:row>
    <x:row r="86">
      <x:c r="A86" s="18" t="str">
        <x:v>graham-2010-09-12-10</x:v>
      </x:c>
      <x:c r="B86" s="18" t="str">
        <x:v>Graham</x:v>
      </x:c>
      <x:c r="C86" s="18" t="str">
        <x:v>Shawn Graham</x:v>
      </x:c>
      <x:c r="D86" s="18" t="str">
        <x:v>Corporate Research Associates</x:v>
      </x:c>
      <x:c r="E86" s="21" t="n">
        <x:v>40433.416666666664</x:v>
      </x:c>
      <x:c r="F86" s="29" t="str">
        <x:v>Reported party shares; denominator/methodology not verified in index</x:v>
      </x:c>
      <x:c r="G86" s="52" t="n">
        <x:v>38</x:v>
      </x:c>
      <x:c r="H86" s="52" t="n">
        <x:v>49</x:v>
      </x:c>
      <x:c r="I86" s="52" t="n">
        <x:v>4</x:v>
      </x:c>
      <x:c r="J86" s="52" t="n">
        <x:v>9</x:v>
      </x:c>
      <x:c r="K86" s="52" t="n">
        <x:v>0</x:v>
      </x:c>
      <x:c r="L86" s="52"/>
      <x:c r="M86" s="52"/>
      <x:c r="N86" s="52"/>
      <x:c r="O86" s="52"/>
      <x:c r="P86" s="18" t="str">
        <x:v>C inventory</x:v>
      </x:c>
      <x:c r="Q86" s="18" t="str">
        <x:v>https://threehundredeight.blogspot.com/2010/09/pcs-roar-ahead-in-new-brunswick.html</x:v>
      </x:c>
      <x:c r="R86" s="18"/>
      <x:c r="S86" s="18" t="str">
        <x:v>https://en.wikipedia.org/wiki/2010_New_Brunswick_general_election</x:v>
      </x:c>
      <x:c r="T86" s="18"/>
      <x:c r="U86" s="18"/>
      <x:c r="V86" s="29" t="str">
        <x:v>Completeness inventory extracted from linked election poll table. Use only rows separately upgraded to A/B in the core model.</x:v>
      </x:c>
    </x:row>
    <x:row r="87">
      <x:c r="A87" s="18" t="str">
        <x:v>graham-2010-09-13-09</x:v>
      </x:c>
      <x:c r="B87" s="18" t="str">
        <x:v>Graham</x:v>
      </x:c>
      <x:c r="C87" s="18" t="str">
        <x:v>Shawn Graham</x:v>
      </x:c>
      <x:c r="D87" s="18" t="str">
        <x:v>Corporate Research Associates</x:v>
      </x:c>
      <x:c r="E87" s="21" t="n">
        <x:v>40434.416666666664</x:v>
      </x:c>
      <x:c r="F87" s="29" t="str">
        <x:v>Reported party shares; denominator/methodology not verified in index</x:v>
      </x:c>
      <x:c r="G87" s="52" t="n">
        <x:v>37</x:v>
      </x:c>
      <x:c r="H87" s="52" t="n">
        <x:v>49</x:v>
      </x:c>
      <x:c r="I87" s="52" t="n">
        <x:v>4</x:v>
      </x:c>
      <x:c r="J87" s="52" t="n">
        <x:v>10</x:v>
      </x:c>
      <x:c r="K87" s="52" t="n">
        <x:v>0</x:v>
      </x:c>
      <x:c r="L87" s="52"/>
      <x:c r="M87" s="52"/>
      <x:c r="N87" s="52"/>
      <x:c r="O87" s="52"/>
      <x:c r="P87" s="18" t="str">
        <x:v>C inventory</x:v>
      </x:c>
      <x:c r="Q87" s="18" t="str">
        <x:v>https://threehundredeight.blogspot.com/2010/09/pcs-now-lead-by-12.html</x:v>
      </x:c>
      <x:c r="R87" s="18"/>
      <x:c r="S87" s="18" t="str">
        <x:v>https://en.wikipedia.org/wiki/2010_New_Brunswick_general_election</x:v>
      </x:c>
      <x:c r="T87" s="18"/>
      <x:c r="U87" s="18"/>
      <x:c r="V87" s="29" t="str">
        <x:v>Completeness inventory extracted from linked election poll table. Use only rows separately upgraded to A/B in the core model.</x:v>
      </x:c>
    </x:row>
    <x:row r="88">
      <x:c r="A88" s="18" t="str">
        <x:v>graham-2010-09-14-08</x:v>
      </x:c>
      <x:c r="B88" s="18" t="str">
        <x:v>Graham</x:v>
      </x:c>
      <x:c r="C88" s="18" t="str">
        <x:v>Shawn Graham</x:v>
      </x:c>
      <x:c r="D88" s="18" t="str">
        <x:v>Corporate Research Associates</x:v>
      </x:c>
      <x:c r="E88" s="21" t="n">
        <x:v>40435.416666666664</x:v>
      </x:c>
      <x:c r="F88" s="29" t="str">
        <x:v>Reported party shares; denominator/methodology not verified in index</x:v>
      </x:c>
      <x:c r="G88" s="52" t="n">
        <x:v>37</x:v>
      </x:c>
      <x:c r="H88" s="52" t="n">
        <x:v>50</x:v>
      </x:c>
      <x:c r="I88" s="52" t="n">
        <x:v>4</x:v>
      </x:c>
      <x:c r="J88" s="52" t="n">
        <x:v>9</x:v>
      </x:c>
      <x:c r="K88" s="52" t="n">
        <x:v>0</x:v>
      </x:c>
      <x:c r="L88" s="52"/>
      <x:c r="M88" s="52"/>
      <x:c r="N88" s="52"/>
      <x:c r="O88" s="52"/>
      <x:c r="P88" s="18" t="str">
        <x:v>C inventory</x:v>
      </x:c>
      <x:c r="Q88" s="18" t="str">
        <x:v>https://threehundredeight.blogspot.com/2010/09/pcs-now-at-50.html</x:v>
      </x:c>
      <x:c r="R88" s="18"/>
      <x:c r="S88" s="18" t="str">
        <x:v>https://en.wikipedia.org/wiki/2010_New_Brunswick_general_election</x:v>
      </x:c>
      <x:c r="T88" s="18"/>
      <x:c r="U88" s="18"/>
      <x:c r="V88" s="29" t="str">
        <x:v>Completeness inventory extracted from linked election poll table. Use only rows separately upgraded to A/B in the core model.</x:v>
      </x:c>
    </x:row>
    <x:row r="89">
      <x:c r="A89" s="18" t="str">
        <x:v>graham-2010-09-15-07</x:v>
      </x:c>
      <x:c r="B89" s="18" t="str">
        <x:v>Graham</x:v>
      </x:c>
      <x:c r="C89" s="18" t="str">
        <x:v>Shawn Graham</x:v>
      </x:c>
      <x:c r="D89" s="18" t="str">
        <x:v>Corporate Research Associates</x:v>
      </x:c>
      <x:c r="E89" s="21" t="n">
        <x:v>40436.416666666664</x:v>
      </x:c>
      <x:c r="F89" s="29" t="str">
        <x:v>Reported party shares; denominator/methodology not verified in index</x:v>
      </x:c>
      <x:c r="G89" s="52" t="n">
        <x:v>38</x:v>
      </x:c>
      <x:c r="H89" s="52" t="n">
        <x:v>48</x:v>
      </x:c>
      <x:c r="I89" s="52" t="n">
        <x:v>4</x:v>
      </x:c>
      <x:c r="J89" s="52" t="n">
        <x:v>10</x:v>
      </x:c>
      <x:c r="K89" s="52" t="n">
        <x:v>0</x:v>
      </x:c>
      <x:c r="L89" s="52"/>
      <x:c r="M89" s="52"/>
      <x:c r="N89" s="52"/>
      <x:c r="O89" s="52"/>
      <x:c r="P89" s="18" t="str">
        <x:v>C inventory</x:v>
      </x:c>
      <x:c r="Q89" s="18" t="str">
        <x:v>https://threehundredeight.blogspot.com/2010/09/nb-gap-down-to-10-points.html</x:v>
      </x:c>
      <x:c r="R89" s="18"/>
      <x:c r="S89" s="18" t="str">
        <x:v>https://en.wikipedia.org/wiki/2010_New_Brunswick_general_election</x:v>
      </x:c>
      <x:c r="T89" s="18"/>
      <x:c r="U89" s="18"/>
      <x:c r="V89" s="29" t="str">
        <x:v>Completeness inventory extracted from linked election poll table. Use only rows separately upgraded to A/B in the core model.</x:v>
      </x:c>
    </x:row>
    <x:row r="90">
      <x:c r="A90" s="18" t="str">
        <x:v>graham-2010-09-16-06</x:v>
      </x:c>
      <x:c r="B90" s="18" t="str">
        <x:v>Graham</x:v>
      </x:c>
      <x:c r="C90" s="18" t="str">
        <x:v>Shawn Graham</x:v>
      </x:c>
      <x:c r="D90" s="18" t="str">
        <x:v>Corporate Research Associates</x:v>
      </x:c>
      <x:c r="E90" s="21" t="n">
        <x:v>40437.416666666664</x:v>
      </x:c>
      <x:c r="F90" s="29" t="str">
        <x:v>Reported party shares; denominator/methodology not verified in index</x:v>
      </x:c>
      <x:c r="G90" s="52" t="n">
        <x:v>38</x:v>
      </x:c>
      <x:c r="H90" s="52" t="n">
        <x:v>48</x:v>
      </x:c>
      <x:c r="I90" s="52" t="n">
        <x:v>5</x:v>
      </x:c>
      <x:c r="J90" s="52" t="n">
        <x:v>9</x:v>
      </x:c>
      <x:c r="K90" s="52" t="n">
        <x:v>1</x:v>
      </x:c>
      <x:c r="L90" s="52"/>
      <x:c r="M90" s="52"/>
      <x:c r="N90" s="52"/>
      <x:c r="O90" s="52"/>
      <x:c r="P90" s="18" t="str">
        <x:v>C inventory</x:v>
      </x:c>
      <x:c r="Q90" s="18" t="str">
        <x:v>https://threehundredeight.blogspot.com/2010/09/leaders-stable-as-fringe-parties-make.html</x:v>
      </x:c>
      <x:c r="R90" s="18"/>
      <x:c r="S90" s="18" t="str">
        <x:v>https://en.wikipedia.org/wiki/2010_New_Brunswick_general_election</x:v>
      </x:c>
      <x:c r="T90" s="18"/>
      <x:c r="U90" s="18"/>
      <x:c r="V90" s="29" t="str">
        <x:v>Completeness inventory extracted from linked election poll table. Use only rows separately upgraded to A/B in the core model.</x:v>
      </x:c>
    </x:row>
    <x:row r="91">
      <x:c r="A91" s="18" t="str">
        <x:v>graham-2010-09-17-05</x:v>
      </x:c>
      <x:c r="B91" s="18" t="str">
        <x:v>Graham</x:v>
      </x:c>
      <x:c r="C91" s="18" t="str">
        <x:v>Shawn Graham</x:v>
      </x:c>
      <x:c r="D91" s="18" t="str">
        <x:v>Corporate Research Associates</x:v>
      </x:c>
      <x:c r="E91" s="21" t="n">
        <x:v>40438.416666666664</x:v>
      </x:c>
      <x:c r="F91" s="29" t="str">
        <x:v>Reported party shares; denominator/methodology not verified in index</x:v>
      </x:c>
      <x:c r="G91" s="52" t="n">
        <x:v>37</x:v>
      </x:c>
      <x:c r="H91" s="52" t="n">
        <x:v>49</x:v>
      </x:c>
      <x:c r="I91" s="52" t="n">
        <x:v>4</x:v>
      </x:c>
      <x:c r="J91" s="52" t="n">
        <x:v>9</x:v>
      </x:c>
      <x:c r="K91" s="52" t="n">
        <x:v>1</x:v>
      </x:c>
      <x:c r="L91" s="52"/>
      <x:c r="M91" s="52"/>
      <x:c r="N91" s="52"/>
      <x:c r="O91" s="52"/>
      <x:c r="P91" s="18" t="str">
        <x:v>C inventory</x:v>
      </x:c>
      <x:c r="Q91" s="18" t="str">
        <x:v>https://threehundredeight.blogspot.com/2010/09/pcs-stumble-but-liberals-stagnant.html</x:v>
      </x:c>
      <x:c r="R91" s="18"/>
      <x:c r="S91" s="18" t="str">
        <x:v>https://en.wikipedia.org/wiki/2010_New_Brunswick_general_election</x:v>
      </x:c>
      <x:c r="T91" s="18"/>
      <x:c r="U91" s="18"/>
      <x:c r="V91" s="29" t="str">
        <x:v>Completeness inventory extracted from linked election poll table. Use only rows separately upgraded to A/B in the core model.</x:v>
      </x:c>
    </x:row>
    <x:row r="92">
      <x:c r="A92" s="18" t="str">
        <x:v>graham-2010-09-18-04</x:v>
      </x:c>
      <x:c r="B92" s="18" t="str">
        <x:v>Graham</x:v>
      </x:c>
      <x:c r="C92" s="18" t="str">
        <x:v>Shawn Graham</x:v>
      </x:c>
      <x:c r="D92" s="18" t="str">
        <x:v>Corporate Research Associates</x:v>
      </x:c>
      <x:c r="E92" s="21" t="n">
        <x:v>40439.416666666664</x:v>
      </x:c>
      <x:c r="F92" s="29" t="str">
        <x:v>Reported party shares; denominator/methodology not verified in index</x:v>
      </x:c>
      <x:c r="G92" s="52" t="n">
        <x:v>38</x:v>
      </x:c>
      <x:c r="H92" s="52" t="n">
        <x:v>45</x:v>
      </x:c>
      <x:c r="I92" s="52" t="n">
        <x:v>6</x:v>
      </x:c>
      <x:c r="J92" s="52" t="n">
        <x:v>10</x:v>
      </x:c>
      <x:c r="K92" s="52" t="n">
        <x:v>1</x:v>
      </x:c>
      <x:c r="L92" s="52"/>
      <x:c r="M92" s="52"/>
      <x:c r="N92" s="52"/>
      <x:c r="O92" s="52"/>
      <x:c r="P92" s="18" t="str">
        <x:v>C inventory</x:v>
      </x:c>
      <x:c r="Q92" s="18" t="str">
        <x:v>https://threehundredeight.blogspot.com/2010/09/pcs-stumble-but-liberals-stagnant.html</x:v>
      </x:c>
      <x:c r="R92" s="18"/>
      <x:c r="S92" s="18" t="str">
        <x:v>https://en.wikipedia.org/wiki/2010_New_Brunswick_general_election</x:v>
      </x:c>
      <x:c r="T92" s="18"/>
      <x:c r="U92" s="18"/>
      <x:c r="V92" s="29" t="str">
        <x:v>Completeness inventory extracted from linked election poll table. Use only rows separately upgraded to A/B in the core model.</x:v>
      </x:c>
    </x:row>
    <x:row r="93">
      <x:c r="A93" s="18" t="str">
        <x:v>graham-2010-09-19-02</x:v>
      </x:c>
      <x:c r="B93" s="18" t="str">
        <x:v>Graham</x:v>
      </x:c>
      <x:c r="C93" s="18" t="str">
        <x:v>Shawn Graham</x:v>
      </x:c>
      <x:c r="D93" s="18" t="str">
        <x:v>Abacus Data</x:v>
      </x:c>
      <x:c r="E93" s="21" t="n">
        <x:v>40440.416666666664</x:v>
      </x:c>
      <x:c r="F93" s="29" t="str">
        <x:v>Reported party shares; denominator/methodology not verified in index</x:v>
      </x:c>
      <x:c r="G93" s="52" t="n">
        <x:v>38</x:v>
      </x:c>
      <x:c r="H93" s="52" t="n">
        <x:v>42</x:v>
      </x:c>
      <x:c r="I93" s="52" t="n">
        <x:v>6</x:v>
      </x:c>
      <x:c r="J93" s="52" t="n">
        <x:v>11</x:v>
      </x:c>
      <x:c r="K93" s="52" t="n">
        <x:v>2</x:v>
      </x:c>
      <x:c r="L93" s="52"/>
      <x:c r="M93" s="52"/>
      <x:c r="N93" s="52"/>
      <x:c r="O93" s="52"/>
      <x:c r="P93" s="18" t="str">
        <x:v>C inventory</x:v>
      </x:c>
      <x:c r="Q93" s="18" t="str">
        <x:v>http://abacusdata.ca/wp-content/uploads/2010/09/NB-Poll-Release-Sept-21-EN.pdf</x:v>
      </x:c>
      <x:c r="R93" s="18" t="str">
        <x:v>https://web.archive.org/web/20110706164017/http://abacusdata.ca/wp-content/uploads/2010/09/NB-Poll-Release-Sept-21-EN.pdf</x:v>
      </x:c>
      <x:c r="S93" s="18" t="str">
        <x:v>https://en.wikipedia.org/wiki/2010_New_Brunswick_general_election</x:v>
      </x:c>
      <x:c r="T93" s="18"/>
      <x:c r="U93" s="18"/>
      <x:c r="V93" s="29" t="str">
        <x:v>Completeness inventory extracted from linked election poll table. Use only rows separately upgraded to A/B in the core model.</x:v>
      </x:c>
    </x:row>
    <x:row r="94">
      <x:c r="A94" s="18" t="str">
        <x:v>graham-2010-09-19-03</x:v>
      </x:c>
      <x:c r="B94" s="18" t="str">
        <x:v>Graham</x:v>
      </x:c>
      <x:c r="C94" s="18" t="str">
        <x:v>Shawn Graham</x:v>
      </x:c>
      <x:c r="D94" s="18" t="str">
        <x:v>Corporate Research Associates</x:v>
      </x:c>
      <x:c r="E94" s="21" t="n">
        <x:v>40440.416666666664</x:v>
      </x:c>
      <x:c r="F94" s="29" t="str">
        <x:v>Reported party shares; denominator/methodology not verified in index</x:v>
      </x:c>
      <x:c r="G94" s="52" t="n">
        <x:v>36</x:v>
      </x:c>
      <x:c r="H94" s="52" t="n">
        <x:v>46</x:v>
      </x:c>
      <x:c r="I94" s="52" t="n">
        <x:v>6</x:v>
      </x:c>
      <x:c r="J94" s="52" t="n">
        <x:v>11</x:v>
      </x:c>
      <x:c r="K94" s="52" t="n">
        <x:v>1</x:v>
      </x:c>
      <x:c r="L94" s="52"/>
      <x:c r="M94" s="52"/>
      <x:c r="N94" s="52"/>
      <x:c r="O94" s="52"/>
      <x:c r="P94" s="18" t="str">
        <x:v>C inventory</x:v>
      </x:c>
      <x:c r="Q94" s="18" t="str">
        <x:v>https://threehundredeight.blogspot.com/2010/09/two-nb-polls-tell-slightly-different.html</x:v>
      </x:c>
      <x:c r="R94" s="18"/>
      <x:c r="S94" s="18" t="str">
        <x:v>https://en.wikipedia.org/wiki/2010_New_Brunswick_general_election</x:v>
      </x:c>
      <x:c r="T94" s="18"/>
      <x:c r="U94" s="18"/>
      <x:c r="V94" s="29" t="str">
        <x:v>Completeness inventory extracted from linked election poll table. Use only rows separately upgraded to A/B in the core model.</x:v>
      </x:c>
    </x:row>
    <x:row r="95">
      <x:c r="A95" s="18" t="str">
        <x:v>graham-2010-09-20-01</x:v>
      </x:c>
      <x:c r="B95" s="18" t="str">
        <x:v>Graham</x:v>
      </x:c>
      <x:c r="C95" s="18" t="str">
        <x:v>Shawn Graham</x:v>
      </x:c>
      <x:c r="D95" s="18" t="str">
        <x:v>CBC News/L'Acadie Nouvelle</x:v>
      </x:c>
      <x:c r="E95" s="21" t="n">
        <x:v>40441.416666666664</x:v>
      </x:c>
      <x:c r="F95" s="29" t="str">
        <x:v>Reported party shares; denominator/methodology not verified in index</x:v>
      </x:c>
      <x:c r="G95" s="52" t="n">
        <x:v>37</x:v>
      </x:c>
      <x:c r="H95" s="52" t="n">
        <x:v>47</x:v>
      </x:c>
      <x:c r="I95" s="52" t="n">
        <x:v>5</x:v>
      </x:c>
      <x:c r="J95" s="52" t="n">
        <x:v>9</x:v>
      </x:c>
      <x:c r="K95" s="52" t="n">
        <x:v>0</x:v>
      </x:c>
      <x:c r="L95" s="52"/>
      <x:c r="M95" s="52"/>
      <x:c r="N95" s="52"/>
      <x:c r="O95" s="52"/>
      <x:c r="P95" s="18" t="str">
        <x:v>C inventory</x:v>
      </x:c>
      <x:c r="Q95" s="18" t="str">
        <x:v>https://www.cbc.ca/news/canada/new-brunswick/indecision-reigns-as-n-b-vote-nears-poll-1.888668</x:v>
      </x:c>
      <x:c r="R95" s="18"/>
      <x:c r="S95" s="18" t="str">
        <x:v>https://en.wikipedia.org/wiki/2010_New_Brunswick_general_election</x:v>
      </x:c>
      <x:c r="T95" s="18"/>
      <x:c r="U95" s="18"/>
      <x:c r="V95" s="29" t="str">
        <x:v>Completeness inventory extracted from linked election poll table. Use only rows separately upgraded to A/B in the core model.</x:v>
      </x:c>
    </x:row>
    <x:row r="96">
      <x:c r="A96" s="18" t="str">
        <x:v>higgs-2018-11-02-28</x:v>
      </x:c>
      <x:c r="B96" s="18" t="str">
        <x:v>Higgs</x:v>
      </x:c>
      <x:c r="C96" s="18" t="str">
        <x:v>Blaine Higgs</x:v>
      </x:c>
      <x:c r="D96" s="18" t="str">
        <x:v>Mainstreet Research</x:v>
      </x:c>
      <x:c r="E96" s="21" t="n">
        <x:v>43406.458333333336</x:v>
      </x:c>
      <x:c r="F96" s="29" t="str">
        <x:v>Reported party shares; denominator/methodology not verified in index</x:v>
      </x:c>
      <x:c r="G96" s="52" t="n">
        <x:v>33.7</x:v>
      </x:c>
      <x:c r="H96" s="52" t="n">
        <x:v>33.7</x:v>
      </x:c>
      <x:c r="I96" s="52" t="n">
        <x:v>15.7</x:v>
      </x:c>
      <x:c r="J96" s="52" t="n">
        <x:v>3</x:v>
      </x:c>
      <x:c r="K96" s="52" t="n">
        <x:v>12.7</x:v>
      </x:c>
      <x:c r="L96" s="52"/>
      <x:c r="M96" s="52"/>
      <x:c r="N96" s="52"/>
      <x:c r="O96" s="52"/>
      <x:c r="P96" s="18" t="str">
        <x:v>C inventory</x:v>
      </x:c>
      <x:c r="Q96" s="18" t="str">
        <x:v>https://www.mainstreetresearch.ca/new-brunswickers-want-party-cooperation-pcs-and-liberals-tied/</x:v>
      </x:c>
      <x:c r="R96" s="18"/>
      <x:c r="S96" s="18" t="str">
        <x:v>https://en.wikipedia.org/wiki/2020_New_Brunswick_general_election</x:v>
      </x:c>
      <x:c r="T96" s="18"/>
      <x:c r="U96" s="18"/>
      <x:c r="V96" s="29" t="str">
        <x:v>Completeness inventory extracted from linked election poll table. Use only rows separately upgraded to A/B in the core model.</x:v>
      </x:c>
    </x:row>
    <x:row r="97">
      <x:c r="A97" s="18" t="str">
        <x:v>higgs-2018-11-05-26</x:v>
      </x:c>
      <x:c r="B97" s="18" t="str">
        <x:v>Higgs</x:v>
      </x:c>
      <x:c r="C97" s="18" t="str">
        <x:v>Blaine Higgs</x:v>
      </x:c>
      <x:c r="D97" s="18" t="str">
        <x:v>MQO Research</x:v>
      </x:c>
      <x:c r="E97" s="21" t="n">
        <x:v>43409.458333333336</x:v>
      </x:c>
      <x:c r="F97" s="29" t="str">
        <x:v>Reported party shares; denominator/methodology not verified in index</x:v>
      </x:c>
      <x:c r="G97" s="52" t="n">
        <x:v>29</x:v>
      </x:c>
      <x:c r="H97" s="52" t="n">
        <x:v>36</x:v>
      </x:c>
      <x:c r="I97" s="52" t="n">
        <x:v>21</x:v>
      </x:c>
      <x:c r="J97" s="52" t="n">
        <x:v>3</x:v>
      </x:c>
      <x:c r="K97" s="52" t="n">
        <x:v>11</x:v>
      </x:c>
      <x:c r="L97" s="52"/>
      <x:c r="M97" s="52"/>
      <x:c r="N97" s="52"/>
      <x:c r="O97" s="52"/>
      <x:c r="P97" s="18" t="str">
        <x:v>C inventory</x:v>
      </x:c>
      <x:c r="Q97" s="18" t="str">
        <x:v>http://mqoresearch.com/wp-content/uploads/2018/11/Atlantic-Matters-NB-Provincial-Results-Q4-2018.pdf</x:v>
      </x:c>
      <x:c r="R97" s="18"/>
      <x:c r="S97" s="18" t="str">
        <x:v>https://en.wikipedia.org/wiki/2020_New_Brunswick_general_election</x:v>
      </x:c>
      <x:c r="T97" s="18"/>
      <x:c r="U97" s="18"/>
      <x:c r="V97" s="29" t="str">
        <x:v>Completeness inventory extracted from linked election poll table. Use only rows separately upgraded to A/B in the core model.</x:v>
      </x:c>
    </x:row>
    <x:row r="98">
      <x:c r="A98" s="18" t="str">
        <x:v>higgs-2018-11-24-24</x:v>
      </x:c>
      <x:c r="B98" s="18" t="str">
        <x:v>Higgs</x:v>
      </x:c>
      <x:c r="C98" s="18" t="str">
        <x:v>Blaine Higgs</x:v>
      </x:c>
      <x:c r="D98" s="18" t="str">
        <x:v>Corporate Research Associates</x:v>
      </x:c>
      <x:c r="E98" s="21" t="n">
        <x:v>43428.458333333336</x:v>
      </x:c>
      <x:c r="F98" s="29" t="str">
        <x:v>Reported party shares; denominator/methodology not verified in index</x:v>
      </x:c>
      <x:c r="G98" s="52" t="n">
        <x:v>35</x:v>
      </x:c>
      <x:c r="H98" s="52" t="n">
        <x:v>30</x:v>
      </x:c>
      <x:c r="I98" s="52" t="n">
        <x:v>17</x:v>
      </x:c>
      <x:c r="J98" s="52" t="n">
        <x:v>6</x:v>
      </x:c>
      <x:c r="K98" s="52" t="n">
        <x:v>12</x:v>
      </x:c>
      <x:c r="L98" s="52"/>
      <x:c r="M98" s="52"/>
      <x:c r="N98" s="52"/>
      <x:c r="O98" s="52"/>
      <x:c r="P98" s="18" t="str">
        <x:v>C inventory</x:v>
      </x:c>
      <x:c r="Q98" s="18" t="str">
        <x:v>https://cra.ca/wp-content/uploads/2018/12/18-4-NB-News-Release-voting-intentions-en.pdf</x:v>
      </x:c>
      <x:c r="R98" s="18" t="str">
        <x:v>https://web.archive.org/web/20181215223906/https://cra.ca/wp-content/uploads/2018/12/18-4-NB-News-Release-voting-intentions-en.pdf</x:v>
      </x:c>
      <x:c r="S98" s="18" t="str">
        <x:v>https://en.wikipedia.org/wiki/2020_New_Brunswick_general_election</x:v>
      </x:c>
      <x:c r="T98" s="18"/>
      <x:c r="U98" s="18"/>
      <x:c r="V98" s="29" t="str">
        <x:v>Completeness inventory extracted from linked election poll table. Use only rows separately upgraded to A/B in the core model.</x:v>
      </x:c>
    </x:row>
    <x:row r="99">
      <x:c r="A99" s="18" t="str">
        <x:v>higgs-2019-01-15-23</x:v>
      </x:c>
      <x:c r="B99" s="18" t="str">
        <x:v>Higgs</x:v>
      </x:c>
      <x:c r="C99" s="18" t="str">
        <x:v>Blaine Higgs</x:v>
      </x:c>
      <x:c r="D99" s="18" t="str">
        <x:v>Mainstreet Research</x:v>
      </x:c>
      <x:c r="E99" s="21" t="n">
        <x:v>43480.458333333336</x:v>
      </x:c>
      <x:c r="F99" s="29" t="str">
        <x:v>Reported party shares; denominator/methodology not verified in index</x:v>
      </x:c>
      <x:c r="G99" s="52" t="n">
        <x:v>27.3</x:v>
      </x:c>
      <x:c r="H99" s="52" t="n">
        <x:v>40.2</x:v>
      </x:c>
      <x:c r="I99" s="52" t="n">
        <x:v>15</x:v>
      </x:c>
      <x:c r="J99" s="52" t="n">
        <x:v>4.5</x:v>
      </x:c>
      <x:c r="K99" s="52" t="n">
        <x:v>12.4</x:v>
      </x:c>
      <x:c r="L99" s="52"/>
      <x:c r="M99" s="52"/>
      <x:c r="N99" s="52"/>
      <x:c r="O99" s="52"/>
      <x:c r="P99" s="18" t="str">
        <x:v>C inventory</x:v>
      </x:c>
      <x:c r="Q99" s="18" t="str">
        <x:v>https://www.mainstreetresearch.ca/higgs-pcs-out-to-a-significant-lead/</x:v>
      </x:c>
      <x:c r="R99" s="18"/>
      <x:c r="S99" s="18" t="str">
        <x:v>https://en.wikipedia.org/wiki/2020_New_Brunswick_general_election</x:v>
      </x:c>
      <x:c r="T99" s="18"/>
      <x:c r="U99" s="18"/>
      <x:c r="V99" s="29" t="str">
        <x:v>Completeness inventory extracted from linked election poll table. Use only rows separately upgraded to A/B in the core model.</x:v>
      </x:c>
    </x:row>
    <x:row r="100">
      <x:c r="A100" s="18" t="str">
        <x:v>higgs-2019-02-10-22</x:v>
      </x:c>
      <x:c r="B100" s="18" t="str">
        <x:v>Higgs</x:v>
      </x:c>
      <x:c r="C100" s="18" t="str">
        <x:v>Blaine Higgs</x:v>
      </x:c>
      <x:c r="D100" s="18" t="str">
        <x:v>MQO Research</x:v>
      </x:c>
      <x:c r="E100" s="21" t="n">
        <x:v>43506.458333333336</x:v>
      </x:c>
      <x:c r="F100" s="29" t="str">
        <x:v>Reported party shares; denominator/methodology not verified in index</x:v>
      </x:c>
      <x:c r="G100" s="52" t="n">
        <x:v>32</x:v>
      </x:c>
      <x:c r="H100" s="52" t="n">
        <x:v>46</x:v>
      </x:c>
      <x:c r="I100" s="52" t="n">
        <x:v>11</x:v>
      </x:c>
      <x:c r="J100" s="52" t="n">
        <x:v>3</x:v>
      </x:c>
      <x:c r="K100" s="52" t="n">
        <x:v>8</x:v>
      </x:c>
      <x:c r="L100" s="52"/>
      <x:c r="M100" s="52"/>
      <x:c r="N100" s="52"/>
      <x:c r="O100" s="52"/>
      <x:c r="P100" s="18" t="str">
        <x:v>C inventory</x:v>
      </x:c>
      <x:c r="Q100" s="18" t="str">
        <x:v>http://mqoresearch.com/wp-content/uploads/2019/02/Atlantic-Matters-NB-Provincial-Results-Q1-2019.pdf</x:v>
      </x:c>
      <x:c r="R100" s="18"/>
      <x:c r="S100" s="18" t="str">
        <x:v>https://en.wikipedia.org/wiki/2020_New_Brunswick_general_election</x:v>
      </x:c>
      <x:c r="T100" s="18"/>
      <x:c r="U100" s="18"/>
      <x:c r="V100" s="29" t="str">
        <x:v>Completeness inventory extracted from linked election poll table. Use only rows separately upgraded to A/B in the core model.</x:v>
      </x:c>
    </x:row>
    <x:row r="101">
      <x:c r="A101" s="18" t="str">
        <x:v>higgs-2019-02-19-21</x:v>
      </x:c>
      <x:c r="B101" s="18" t="str">
        <x:v>Higgs</x:v>
      </x:c>
      <x:c r="C101" s="18" t="str">
        <x:v>Blaine Higgs</x:v>
      </x:c>
      <x:c r="D101" s="18" t="str">
        <x:v>Corporate Research Associates</x:v>
      </x:c>
      <x:c r="E101" s="21" t="n">
        <x:v>43515.458333333336</x:v>
      </x:c>
      <x:c r="F101" s="29" t="str">
        <x:v>Reported party shares; denominator/methodology not verified in index</x:v>
      </x:c>
      <x:c r="G101" s="52" t="n">
        <x:v>29</x:v>
      </x:c>
      <x:c r="H101" s="52" t="n">
        <x:v>42</x:v>
      </x:c>
      <x:c r="I101" s="52" t="n">
        <x:v>14</x:v>
      </x:c>
      <x:c r="J101" s="52" t="n">
        <x:v>6</x:v>
      </x:c>
      <x:c r="K101" s="52" t="n">
        <x:v>9</x:v>
      </x:c>
      <x:c r="L101" s="52"/>
      <x:c r="M101" s="52"/>
      <x:c r="N101" s="52"/>
      <x:c r="O101" s="52"/>
      <x:c r="P101" s="18" t="str">
        <x:v>C inventory</x:v>
      </x:c>
      <x:c r="Q101" s="18" t="str">
        <x:v>https://cra.ca/wp-content/uploads/2019/03/19-1-NB-News-Release-voting-intentions-en.pdf</x:v>
      </x:c>
      <x:c r="R101" s="18"/>
      <x:c r="S101" s="18" t="str">
        <x:v>https://en.wikipedia.org/wiki/2020_New_Brunswick_general_election</x:v>
      </x:c>
      <x:c r="T101" s="18"/>
      <x:c r="U101" s="18"/>
      <x:c r="V101" s="29" t="str">
        <x:v>Completeness inventory extracted from linked election poll table. Use only rows separately upgraded to A/B in the core model.</x:v>
      </x:c>
    </x:row>
    <x:row r="102">
      <x:c r="A102" s="18" t="str">
        <x:v>higgs-2019-05-06-19</x:v>
      </x:c>
      <x:c r="B102" s="18" t="str">
        <x:v>Higgs</x:v>
      </x:c>
      <x:c r="C102" s="18" t="str">
        <x:v>Blaine Higgs</x:v>
      </x:c>
      <x:c r="D102" s="18" t="str">
        <x:v>MQO Research</x:v>
      </x:c>
      <x:c r="E102" s="21" t="n">
        <x:v>43591.416666666664</x:v>
      </x:c>
      <x:c r="F102" s="29" t="str">
        <x:v>Reported party shares; denominator/methodology not verified in index</x:v>
      </x:c>
      <x:c r="G102" s="52" t="n">
        <x:v>30</x:v>
      </x:c>
      <x:c r="H102" s="52" t="n">
        <x:v>40</x:v>
      </x:c>
      <x:c r="I102" s="52" t="n">
        <x:v>20</x:v>
      </x:c>
      <x:c r="J102" s="52" t="n">
        <x:v>3</x:v>
      </x:c>
      <x:c r="K102" s="52" t="n">
        <x:v>5</x:v>
      </x:c>
      <x:c r="L102" s="52"/>
      <x:c r="M102" s="52"/>
      <x:c r="N102" s="52"/>
      <x:c r="O102" s="52"/>
      <x:c r="P102" s="18" t="str">
        <x:v>C inventory</x:v>
      </x:c>
      <x:c r="Q102" s="18" t="str">
        <x:v>http://mqoresearch.com/wp-content/uploads/2019/05/Atlantic-Matters-NB-Provincial-Results-Q2-2019.pdf</x:v>
      </x:c>
      <x:c r="R102" s="18"/>
      <x:c r="S102" s="18" t="str">
        <x:v>https://en.wikipedia.org/wiki/2020_New_Brunswick_general_election</x:v>
      </x:c>
      <x:c r="T102" s="18"/>
      <x:c r="U102" s="18"/>
      <x:c r="V102" s="29" t="str">
        <x:v>Completeness inventory extracted from linked election poll table. Use only rows separately upgraded to A/B in the core model.</x:v>
      </x:c>
    </x:row>
    <x:row r="103">
      <x:c r="A103" s="18" t="str">
        <x:v>higgs-2019-06-13-18</x:v>
      </x:c>
      <x:c r="B103" s="18" t="str">
        <x:v>Higgs</x:v>
      </x:c>
      <x:c r="C103" s="18" t="str">
        <x:v>Blaine Higgs</x:v>
      </x:c>
      <x:c r="D103" s="18" t="str">
        <x:v>Narrative Research</x:v>
      </x:c>
      <x:c r="E103" s="21" t="n">
        <x:v>43629.416666666664</x:v>
      </x:c>
      <x:c r="F103" s="29" t="str">
        <x:v>Reported party shares; denominator/methodology not verified in index</x:v>
      </x:c>
      <x:c r="G103" s="52" t="n">
        <x:v>25</x:v>
      </x:c>
      <x:c r="H103" s="52" t="n">
        <x:v>42</x:v>
      </x:c>
      <x:c r="I103" s="52" t="n">
        <x:v>18</x:v>
      </x:c>
      <x:c r="J103" s="52" t="n">
        <x:v>8</x:v>
      </x:c>
      <x:c r="K103" s="52" t="n">
        <x:v>6</x:v>
      </x:c>
      <x:c r="L103" s="52"/>
      <x:c r="M103" s="52"/>
      <x:c r="N103" s="52"/>
      <x:c r="O103" s="52"/>
      <x:c r="P103" s="18" t="str">
        <x:v>C inventory</x:v>
      </x:c>
      <x:c r="Q103" s="18" t="str">
        <x:v>https://narrativeresearch.ca/nb-pcs-maintain-lead-in-popular-support-satisfaction-stable/</x:v>
      </x:c>
      <x:c r="R103" s="18"/>
      <x:c r="S103" s="18" t="str">
        <x:v>https://en.wikipedia.org/wiki/2020_New_Brunswick_general_election</x:v>
      </x:c>
      <x:c r="T103" s="18"/>
      <x:c r="U103" s="18"/>
      <x:c r="V103" s="29" t="str">
        <x:v>Completeness inventory extracted from linked election poll table. Use only rows separately upgraded to A/B in the core model.</x:v>
      </x:c>
    </x:row>
    <x:row r="104">
      <x:c r="A104" s="18" t="str">
        <x:v>higgs-2019-08-23-17</x:v>
      </x:c>
      <x:c r="B104" s="18" t="str">
        <x:v>Higgs</x:v>
      </x:c>
      <x:c r="C104" s="18" t="str">
        <x:v>Blaine Higgs</x:v>
      </x:c>
      <x:c r="D104" s="18" t="str">
        <x:v>Narrative Research</x:v>
      </x:c>
      <x:c r="E104" s="21" t="n">
        <x:v>43700.416666666664</x:v>
      </x:c>
      <x:c r="F104" s="29" t="str">
        <x:v>Reported party shares; denominator/methodology not verified in index</x:v>
      </x:c>
      <x:c r="G104" s="52" t="n">
        <x:v>29</x:v>
      </x:c>
      <x:c r="H104" s="52" t="n">
        <x:v>36</x:v>
      </x:c>
      <x:c r="I104" s="52" t="n">
        <x:v>18</x:v>
      </x:c>
      <x:c r="J104" s="52" t="n">
        <x:v>6</x:v>
      </x:c>
      <x:c r="K104" s="52" t="n">
        <x:v>8</x:v>
      </x:c>
      <x:c r="L104" s="52"/>
      <x:c r="M104" s="52"/>
      <x:c r="N104" s="52"/>
      <x:c r="O104" s="52"/>
      <x:c r="P104" s="18" t="str">
        <x:v>C inventory</x:v>
      </x:c>
      <x:c r="Q104" s="18" t="str">
        <x:v>https://narrativeresearch.ca/wp-content/uploads/2019/09/19-3-NB-News-Release-voting-intentions-en.pdf</x:v>
      </x:c>
      <x:c r="R104" s="18"/>
      <x:c r="S104" s="18" t="str">
        <x:v>https://en.wikipedia.org/wiki/2020_New_Brunswick_general_election</x:v>
      </x:c>
      <x:c r="T104" s="18"/>
      <x:c r="U104" s="18"/>
      <x:c r="V104" s="29" t="str">
        <x:v>Completeness inventory extracted from linked election poll table. Use only rows separately upgraded to A/B in the core model.</x:v>
      </x:c>
    </x:row>
    <x:row r="105">
      <x:c r="A105" s="18" t="str">
        <x:v>higgs-2019-11-22-16</x:v>
      </x:c>
      <x:c r="B105" s="18" t="str">
        <x:v>Higgs</x:v>
      </x:c>
      <x:c r="C105" s="18" t="str">
        <x:v>Blaine Higgs</x:v>
      </x:c>
      <x:c r="D105" s="18" t="str">
        <x:v>Narrative Research</x:v>
      </x:c>
      <x:c r="E105" s="21" t="n">
        <x:v>43791.458333333336</x:v>
      </x:c>
      <x:c r="F105" s="29" t="str">
        <x:v>Reported party shares; denominator/methodology not verified in index</x:v>
      </x:c>
      <x:c r="G105" s="52" t="n">
        <x:v>31</x:v>
      </x:c>
      <x:c r="H105" s="52" t="n">
        <x:v>37</x:v>
      </x:c>
      <x:c r="I105" s="52" t="n">
        <x:v>21</x:v>
      </x:c>
      <x:c r="J105" s="52" t="n">
        <x:v>7</x:v>
      </x:c>
      <x:c r="K105" s="52" t="n">
        <x:v>3</x:v>
      </x:c>
      <x:c r="L105" s="52"/>
      <x:c r="M105" s="52"/>
      <x:c r="N105" s="52"/>
      <x:c r="O105" s="52"/>
      <x:c r="P105" s="18" t="str">
        <x:v>C inventory</x:v>
      </x:c>
      <x:c r="Q105" s="18" t="str">
        <x:v>https://narrativeresearch.ca/majority-satisfaction-this-quarter-for-new-brunswick-pcs/</x:v>
      </x:c>
      <x:c r="R105" s="18"/>
      <x:c r="S105" s="18" t="str">
        <x:v>https://en.wikipedia.org/wiki/2020_New_Brunswick_general_election</x:v>
      </x:c>
      <x:c r="T105" s="18"/>
      <x:c r="U105" s="18"/>
      <x:c r="V105" s="29" t="str">
        <x:v>Completeness inventory extracted from linked election poll table. Use only rows separately upgraded to A/B in the core model.</x:v>
      </x:c>
    </x:row>
    <x:row r="106">
      <x:c r="A106" s="18" t="str">
        <x:v>higgs-2020-02-27-15</x:v>
      </x:c>
      <x:c r="B106" s="18" t="str">
        <x:v>Higgs</x:v>
      </x:c>
      <x:c r="C106" s="18" t="str">
        <x:v>Blaine Higgs</x:v>
      </x:c>
      <x:c r="D106" s="18" t="str">
        <x:v>MQO Research</x:v>
      </x:c>
      <x:c r="E106" s="21" t="n">
        <x:v>43888.458333333336</x:v>
      </x:c>
      <x:c r="F106" s="29" t="str">
        <x:v>Reported party shares; denominator/methodology not verified in index</x:v>
      </x:c>
      <x:c r="G106" s="52" t="n">
        <x:v>31</x:v>
      </x:c>
      <x:c r="H106" s="52" t="n">
        <x:v>37</x:v>
      </x:c>
      <x:c r="I106" s="52" t="n">
        <x:v>21</x:v>
      </x:c>
      <x:c r="J106" s="52" t="n">
        <x:v>4</x:v>
      </x:c>
      <x:c r="K106" s="52" t="n">
        <x:v>4</x:v>
      </x:c>
      <x:c r="L106" s="52"/>
      <x:c r="M106" s="52"/>
      <x:c r="N106" s="52"/>
      <x:c r="O106" s="52"/>
      <x:c r="P106" s="18" t="str">
        <x:v>C inventory</x:v>
      </x:c>
      <x:c r="Q106" s="18" t="str">
        <x:v>https://mqoresearch.com/wp-content/uploads/2020/03/Atlantic-Matters-NB-Provincial-Results-Q1-2020.pdf</x:v>
      </x:c>
      <x:c r="R106" s="18"/>
      <x:c r="S106" s="18" t="str">
        <x:v>https://en.wikipedia.org/wiki/2020_New_Brunswick_general_election</x:v>
      </x:c>
      <x:c r="T106" s="18"/>
      <x:c r="U106" s="18"/>
      <x:c r="V106" s="29" t="str">
        <x:v>Completeness inventory extracted from linked election poll table. Use only rows separately upgraded to A/B in the core model.</x:v>
      </x:c>
    </x:row>
    <x:row r="107">
      <x:c r="A107" s="18" t="str">
        <x:v>higgs-2020-03-12-14</x:v>
      </x:c>
      <x:c r="B107" s="18" t="str">
        <x:v>Higgs</x:v>
      </x:c>
      <x:c r="C107" s="18" t="str">
        <x:v>Blaine Higgs</x:v>
      </x:c>
      <x:c r="D107" s="18" t="str">
        <x:v>Narrative Research</x:v>
      </x:c>
      <x:c r="E107" s="21" t="n">
        <x:v>43902.458333333336</x:v>
      </x:c>
      <x:c r="F107" s="29" t="str">
        <x:v>Reported party shares; denominator/methodology not verified in index</x:v>
      </x:c>
      <x:c r="G107" s="52" t="n">
        <x:v>28</x:v>
      </x:c>
      <x:c r="H107" s="52" t="n">
        <x:v>39</x:v>
      </x:c>
      <x:c r="I107" s="52" t="n">
        <x:v>20</x:v>
      </x:c>
      <x:c r="J107" s="52" t="n">
        <x:v>8</x:v>
      </x:c>
      <x:c r="K107" s="52" t="n">
        <x:v>4</x:v>
      </x:c>
      <x:c r="L107" s="52"/>
      <x:c r="M107" s="52"/>
      <x:c r="N107" s="52"/>
      <x:c r="O107" s="52"/>
      <x:c r="P107" s="18" t="str">
        <x:v>C inventory</x:v>
      </x:c>
      <x:c r="Q107" s="18" t="str">
        <x:v>https://narrativeresearch.ca/new-brunswick-pcs-hover-below-majority-satisfaction/</x:v>
      </x:c>
      <x:c r="R107" s="18"/>
      <x:c r="S107" s="18" t="str">
        <x:v>https://en.wikipedia.org/wiki/2020_New_Brunswick_general_election</x:v>
      </x:c>
      <x:c r="T107" s="18"/>
      <x:c r="U107" s="18"/>
      <x:c r="V107" s="29" t="str">
        <x:v>Completeness inventory extracted from linked election poll table. Use only rows separately upgraded to A/B in the core model.</x:v>
      </x:c>
    </x:row>
    <x:row r="108">
      <x:c r="A108" s="18" t="str">
        <x:v>higgs-2020-05-07-13</x:v>
      </x:c>
      <x:c r="B108" s="18" t="str">
        <x:v>Higgs</x:v>
      </x:c>
      <x:c r="C108" s="18" t="str">
        <x:v>Blaine Higgs</x:v>
      </x:c>
      <x:c r="D108" s="18" t="str">
        <x:v>Innovative Research Group</x:v>
      </x:c>
      <x:c r="E108" s="21" t="n">
        <x:v>43958.416666666664</x:v>
      </x:c>
      <x:c r="F108" s="29" t="str">
        <x:v>Reported party shares; denominator/methodology not verified in index</x:v>
      </x:c>
      <x:c r="G108" s="52" t="n">
        <x:v>37</x:v>
      </x:c>
      <x:c r="H108" s="52" t="n">
        <x:v>33</x:v>
      </x:c>
      <x:c r="I108" s="52" t="n">
        <x:v>13</x:v>
      </x:c>
      <x:c r="J108" s="52" t="n">
        <x:v>10</x:v>
      </x:c>
      <x:c r="K108" s="52" t="n">
        <x:v>6</x:v>
      </x:c>
      <x:c r="L108" s="52"/>
      <x:c r="M108" s="52"/>
      <x:c r="N108" s="52"/>
      <x:c r="O108" s="52"/>
      <x:c r="P108" s="18" t="str">
        <x:v>C inventory</x:v>
      </x:c>
      <x:c r="Q108" s="18" t="str">
        <x:v>https://innovativeresearch.ca/wp-content/uploads/2020/05/CTM2005-NB-Report.pdf</x:v>
      </x:c>
      <x:c r="R108" s="18"/>
      <x:c r="S108" s="18" t="str">
        <x:v>https://en.wikipedia.org/wiki/2020_New_Brunswick_general_election</x:v>
      </x:c>
      <x:c r="T108" s="18"/>
      <x:c r="U108" s="18"/>
      <x:c r="V108" s="29" t="str">
        <x:v>Completeness inventory extracted from linked election poll table. Use only rows separately upgraded to A/B in the core model.</x:v>
      </x:c>
    </x:row>
    <x:row r="109">
      <x:c r="A109" s="18" t="str">
        <x:v>higgs-2020-05-20-12</x:v>
      </x:c>
      <x:c r="B109" s="18" t="str">
        <x:v>Higgs</x:v>
      </x:c>
      <x:c r="C109" s="18" t="str">
        <x:v>Blaine Higgs</x:v>
      </x:c>
      <x:c r="D109" s="18" t="str">
        <x:v>Narrative Research</x:v>
      </x:c>
      <x:c r="E109" s="21" t="n">
        <x:v>43971.416666666664</x:v>
      </x:c>
      <x:c r="F109" s="29" t="str">
        <x:v>Reported party shares; denominator/methodology not verified in index</x:v>
      </x:c>
      <x:c r="G109" s="52" t="n">
        <x:v>30</x:v>
      </x:c>
      <x:c r="H109" s="52" t="n">
        <x:v>48</x:v>
      </x:c>
      <x:c r="I109" s="52" t="n">
        <x:v>15</x:v>
      </x:c>
      <x:c r="J109" s="52" t="n">
        <x:v>5</x:v>
      </x:c>
      <x:c r="K109" s="52" t="n">
        <x:v>3</x:v>
      </x:c>
      <x:c r="L109" s="52"/>
      <x:c r="M109" s="52"/>
      <x:c r="N109" s="52"/>
      <x:c r="O109" s="52"/>
      <x:c r="P109" s="18" t="str">
        <x:v>C inventory</x:v>
      </x:c>
      <x:c r="Q109" s="18" t="str">
        <x:v>https://narrativeresearch.ca/satisfaction-with-the-performance-of-the-nb-government-reaches-highest-level-ever-recorded-for-the-province/</x:v>
      </x:c>
      <x:c r="R109" s="18"/>
      <x:c r="S109" s="18" t="str">
        <x:v>https://en.wikipedia.org/wiki/2020_New_Brunswick_general_election</x:v>
      </x:c>
      <x:c r="T109" s="18"/>
      <x:c r="U109" s="18"/>
      <x:c r="V109" s="29" t="str">
        <x:v>Completeness inventory extracted from linked election poll table. Use only rows separately upgraded to A/B in the core model.</x:v>
      </x:c>
    </x:row>
    <x:row r="110">
      <x:c r="A110" s="18" t="str">
        <x:v>higgs-2020-05-24-11</x:v>
      </x:c>
      <x:c r="B110" s="18" t="str">
        <x:v>Higgs</x:v>
      </x:c>
      <x:c r="C110" s="18" t="str">
        <x:v>Blaine Higgs</x:v>
      </x:c>
      <x:c r="D110" s="18" t="str">
        <x:v>Angus Reid</x:v>
      </x:c>
      <x:c r="E110" s="21" t="n">
        <x:v>43975.416666666664</x:v>
      </x:c>
      <x:c r="F110" s="29" t="str">
        <x:v>Reported party shares; denominator/methodology not verified in index</x:v>
      </x:c>
      <x:c r="G110" s="52" t="n">
        <x:v>26</x:v>
      </x:c>
      <x:c r="H110" s="52" t="n">
        <x:v>39</x:v>
      </x:c>
      <x:c r="I110" s="52" t="n">
        <x:v>17</x:v>
      </x:c>
      <x:c r="J110" s="52" t="n">
        <x:v>4</x:v>
      </x:c>
      <x:c r="K110" s="52" t="n">
        <x:v>13</x:v>
      </x:c>
      <x:c r="L110" s="52"/>
      <x:c r="M110" s="52"/>
      <x:c r="N110" s="52"/>
      <x:c r="O110" s="52"/>
      <x:c r="P110" s="18" t="str">
        <x:v>C inventory</x:v>
      </x:c>
      <x:c r="Q110" s="18" t="str">
        <x:v>http://angusreid.org/provincial-outlook-june2020/</x:v>
      </x:c>
      <x:c r="R110" s="18"/>
      <x:c r="S110" s="18" t="str">
        <x:v>https://en.wikipedia.org/wiki/2020_New_Brunswick_general_election</x:v>
      </x:c>
      <x:c r="T110" s="18"/>
      <x:c r="U110" s="18"/>
      <x:c r="V110" s="29" t="str">
        <x:v>Completeness inventory extracted from linked election poll table. Use only rows separately upgraded to A/B in the core model.</x:v>
      </x:c>
    </x:row>
    <x:row r="111">
      <x:c r="A111" s="18" t="str">
        <x:v>higgs-2020-08-23-10</x:v>
      </x:c>
      <x:c r="B111" s="18" t="str">
        <x:v>Higgs</x:v>
      </x:c>
      <x:c r="C111" s="18" t="str">
        <x:v>Blaine Higgs</x:v>
      </x:c>
      <x:c r="D111" s="18" t="str">
        <x:v>Narrative Research</x:v>
      </x:c>
      <x:c r="E111" s="21" t="n">
        <x:v>44066.416666666664</x:v>
      </x:c>
      <x:c r="F111" s="29" t="str">
        <x:v>Reported party shares; denominator/methodology not verified in index</x:v>
      </x:c>
      <x:c r="G111" s="52" t="n">
        <x:v>33</x:v>
      </x:c>
      <x:c r="H111" s="52" t="n">
        <x:v>44</x:v>
      </x:c>
      <x:c r="I111" s="52" t="n">
        <x:v>14</x:v>
      </x:c>
      <x:c r="J111" s="52" t="n">
        <x:v>7</x:v>
      </x:c>
      <x:c r="K111" s="52" t="n">
        <x:v>2</x:v>
      </x:c>
      <x:c r="L111" s="52"/>
      <x:c r="M111" s="52"/>
      <x:c r="N111" s="52"/>
      <x:c r="O111" s="52"/>
      <x:c r="P111" s="18" t="str">
        <x:v>C inventory</x:v>
      </x:c>
      <x:c r="Q111" s="18" t="str">
        <x:v>https://narrativeresearch.ca/satisfaction-levels-with-the-provincial-government-remain-high-despite-trending-down-after-the-election-call/</x:v>
      </x:c>
      <x:c r="R111" s="18"/>
      <x:c r="S111" s="18" t="str">
        <x:v>https://en.wikipedia.org/wiki/2020_New_Brunswick_general_election</x:v>
      </x:c>
      <x:c r="T111" s="18"/>
      <x:c r="U111" s="18"/>
      <x:c r="V111" s="29" t="str">
        <x:v>Completeness inventory extracted from linked election poll table. Use only rows separately upgraded to A/B in the core model.</x:v>
      </x:c>
    </x:row>
    <x:row r="112">
      <x:c r="A112" s="18" t="str">
        <x:v>higgs-2020-08-26-09</x:v>
      </x:c>
      <x:c r="B112" s="18" t="str">
        <x:v>Higgs</x:v>
      </x:c>
      <x:c r="C112" s="18" t="str">
        <x:v>Blaine Higgs</x:v>
      </x:c>
      <x:c r="D112" s="18" t="str">
        <x:v>Leger/Acadie Nouvelle</x:v>
      </x:c>
      <x:c r="E112" s="21" t="n">
        <x:v>44069.416666666664</x:v>
      </x:c>
      <x:c r="F112" s="29" t="str">
        <x:v>Reported party shares; denominator/methodology not verified in index</x:v>
      </x:c>
      <x:c r="G112" s="52" t="n">
        <x:v>32</x:v>
      </x:c>
      <x:c r="H112" s="52" t="n">
        <x:v>40</x:v>
      </x:c>
      <x:c r="I112" s="52" t="n">
        <x:v>13</x:v>
      </x:c>
      <x:c r="J112" s="52" t="n">
        <x:v>6</x:v>
      </x:c>
      <x:c r="K112" s="52" t="n">
        <x:v>7</x:v>
      </x:c>
      <x:c r="L112" s="52"/>
      <x:c r="M112" s="52"/>
      <x:c r="N112" s="52"/>
      <x:c r="O112" s="52"/>
      <x:c r="P112" s="18" t="str">
        <x:v>C inventory</x:v>
      </x:c>
      <x:c r="Q112" s="18" t="str">
        <x:v>https://leger360.com/wp-content/uploads/2020/08/Provincial-Politics-NB-August-29-2020.pdf</x:v>
      </x:c>
      <x:c r="R112" s="18"/>
      <x:c r="S112" s="18" t="str">
        <x:v>https://en.wikipedia.org/wiki/2020_New_Brunswick_general_election</x:v>
      </x:c>
      <x:c r="T112" s="18"/>
      <x:c r="U112" s="18"/>
      <x:c r="V112" s="29" t="str">
        <x:v>Completeness inventory extracted from linked election poll table. Use only rows separately upgraded to A/B in the core model.</x:v>
      </x:c>
    </x:row>
    <x:row r="113">
      <x:c r="A113" s="18" t="str">
        <x:v>higgs-2020-08-27-08</x:v>
      </x:c>
      <x:c r="B113" s="18" t="str">
        <x:v>Higgs</x:v>
      </x:c>
      <x:c r="C113" s="18" t="str">
        <x:v>Blaine Higgs</x:v>
      </x:c>
      <x:c r="D113" s="18" t="str">
        <x:v>Mainstreet Research</x:v>
      </x:c>
      <x:c r="E113" s="21" t="n">
        <x:v>44070.416666666664</x:v>
      </x:c>
      <x:c r="F113" s="29" t="str">
        <x:v>Reported party shares; denominator/methodology not verified in index</x:v>
      </x:c>
      <x:c r="G113" s="52" t="n">
        <x:v>32</x:v>
      </x:c>
      <x:c r="H113" s="52" t="n">
        <x:v>38</x:v>
      </x:c>
      <x:c r="I113" s="52" t="n">
        <x:v>19</x:v>
      </x:c>
      <x:c r="J113" s="52" t="n">
        <x:v>4</x:v>
      </x:c>
      <x:c r="K113" s="52" t="n">
        <x:v>7</x:v>
      </x:c>
      <x:c r="L113" s="52"/>
      <x:c r="M113" s="52"/>
      <x:c r="N113" s="52"/>
      <x:c r="O113" s="52"/>
      <x:c r="P113" s="18" t="str">
        <x:v>C inventory</x:v>
      </x:c>
      <x:c r="Q113" s="18" t="str">
        <x:v>https://qc125.com/proj/2020-08-31-NB-Mainstreet-338Canada.pdf</x:v>
      </x:c>
      <x:c r="R113" s="18"/>
      <x:c r="S113" s="18" t="str">
        <x:v>https://en.wikipedia.org/wiki/2020_New_Brunswick_general_election</x:v>
      </x:c>
      <x:c r="T113" s="18"/>
      <x:c r="U113" s="18"/>
      <x:c r="V113" s="29" t="str">
        <x:v>Completeness inventory extracted from linked election poll table. Use only rows separately upgraded to A/B in the core model.</x:v>
      </x:c>
    </x:row>
    <x:row r="114">
      <x:c r="A114" s="18" t="str">
        <x:v>higgs-2020-08-30-07</x:v>
      </x:c>
      <x:c r="B114" s="18" t="str">
        <x:v>Higgs</x:v>
      </x:c>
      <x:c r="C114" s="18" t="str">
        <x:v>Blaine Higgs</x:v>
      </x:c>
      <x:c r="D114" s="18" t="str">
        <x:v>MQO Research</x:v>
      </x:c>
      <x:c r="E114" s="21" t="n">
        <x:v>44073.416666666664</x:v>
      </x:c>
      <x:c r="F114" s="29" t="str">
        <x:v>Reported party shares; denominator/methodology not verified in index</x:v>
      </x:c>
      <x:c r="G114" s="52" t="n">
        <x:v>27</x:v>
      </x:c>
      <x:c r="H114" s="52" t="n">
        <x:v>43</x:v>
      </x:c>
      <x:c r="I114" s="52" t="n">
        <x:v>17</x:v>
      </x:c>
      <x:c r="J114" s="52" t="n">
        <x:v>6</x:v>
      </x:c>
      <x:c r="K114" s="52" t="n">
        <x:v>5</x:v>
      </x:c>
      <x:c r="L114" s="52"/>
      <x:c r="M114" s="52"/>
      <x:c r="N114" s="52"/>
      <x:c r="O114" s="52"/>
      <x:c r="P114" s="18" t="str">
        <x:v>C inventory</x:v>
      </x:c>
      <x:c r="Q114" s="18" t="str">
        <x:v>https://mqoresearch.com/atlantic-matters-poll-pcs-hold-strong-lead-heading-into-the-new-brunswick-election/</x:v>
      </x:c>
      <x:c r="R114" s="18"/>
      <x:c r="S114" s="18" t="str">
        <x:v>https://en.wikipedia.org/wiki/2020_New_Brunswick_general_election</x:v>
      </x:c>
      <x:c r="T114" s="18"/>
      <x:c r="U114" s="18"/>
      <x:c r="V114" s="29" t="str">
        <x:v>Completeness inventory extracted from linked election poll table. Use only rows separately upgraded to A/B in the core model.</x:v>
      </x:c>
    </x:row>
    <x:row r="115">
      <x:c r="A115" s="18" t="str">
        <x:v>higgs-2020-09-03-06</x:v>
      </x:c>
      <x:c r="B115" s="18" t="str">
        <x:v>Higgs</x:v>
      </x:c>
      <x:c r="C115" s="18" t="str">
        <x:v>Blaine Higgs</x:v>
      </x:c>
      <x:c r="D115" s="18" t="str">
        <x:v>Oraclepoll Research</x:v>
      </x:c>
      <x:c r="E115" s="21" t="n">
        <x:v>44077.416666666664</x:v>
      </x:c>
      <x:c r="F115" s="29" t="str">
        <x:v>Reported party shares; denominator/methodology not verified in index</x:v>
      </x:c>
      <x:c r="G115" s="52" t="n">
        <x:v>33</x:v>
      </x:c>
      <x:c r="H115" s="52" t="n">
        <x:v>42</x:v>
      </x:c>
      <x:c r="I115" s="52" t="n">
        <x:v>18</x:v>
      </x:c>
      <x:c r="J115" s="52" t="n">
        <x:v>6</x:v>
      </x:c>
      <x:c r="K115" s="52" t="n">
        <x:v>2</x:v>
      </x:c>
      <x:c r="L115" s="52"/>
      <x:c r="M115" s="52"/>
      <x:c r="N115" s="52"/>
      <x:c r="O115" s="52"/>
      <x:c r="P115" s="18" t="str">
        <x:v>C inventory</x:v>
      </x:c>
      <x:c r="Q115" s="18" t="str">
        <x:v>https://www.conservationcouncil.ca/wp-content/uploads/2020/09/Conservation-Forestry-in-New-Brusnswick-Report_Sept8-1.pdf</x:v>
      </x:c>
      <x:c r="R115" s="18"/>
      <x:c r="S115" s="18" t="str">
        <x:v>https://en.wikipedia.org/wiki/2020_New_Brunswick_general_election</x:v>
      </x:c>
      <x:c r="T115" s="18"/>
      <x:c r="U115" s="18"/>
      <x:c r="V115" s="29" t="str">
        <x:v>Completeness inventory extracted from linked election poll table. Use only rows separately upgraded to A/B in the core model.</x:v>
      </x:c>
    </x:row>
    <x:row r="116">
      <x:c r="A116" s="18" t="str">
        <x:v>higgs-2020-09-12-05</x:v>
      </x:c>
      <x:c r="B116" s="18" t="str">
        <x:v>Higgs</x:v>
      </x:c>
      <x:c r="C116" s="18" t="str">
        <x:v>Blaine Higgs</x:v>
      </x:c>
      <x:c r="D116" s="18" t="str">
        <x:v>EKOS</x:v>
      </x:c>
      <x:c r="E116" s="21" t="n">
        <x:v>44086.416666666664</x:v>
      </x:c>
      <x:c r="F116" s="29" t="str">
        <x:v>Reported party shares; denominator/methodology not verified in index</x:v>
      </x:c>
      <x:c r="G116" s="52" t="n">
        <x:v>32</x:v>
      </x:c>
      <x:c r="H116" s="52" t="n">
        <x:v>32</x:v>
      </x:c>
      <x:c r="I116" s="52" t="n">
        <x:v>18</x:v>
      </x:c>
      <x:c r="J116" s="52" t="n">
        <x:v>4</x:v>
      </x:c>
      <x:c r="K116" s="52" t="n">
        <x:v>10</x:v>
      </x:c>
      <x:c r="L116" s="52"/>
      <x:c r="M116" s="52"/>
      <x:c r="N116" s="52"/>
      <x:c r="O116" s="52"/>
      <x:c r="P116" s="18" t="str">
        <x:v>C inventory</x:v>
      </x:c>
      <x:c r="Q116" s="18" t="str">
        <x:v>https://www.ekospolitics.com/index.php/2020/09/tories-on-the-cusp-of-a-majority-government-in-new-brunswick/</x:v>
      </x:c>
      <x:c r="R116" s="18"/>
      <x:c r="S116" s="18" t="str">
        <x:v>https://en.wikipedia.org/wiki/2020_New_Brunswick_general_election</x:v>
      </x:c>
      <x:c r="T116" s="18"/>
      <x:c r="U116" s="18"/>
      <x:c r="V116" s="29" t="str">
        <x:v>Completeness inventory extracted from linked election poll table. Use only rows separately upgraded to A/B in the core model.</x:v>
      </x:c>
    </x:row>
    <x:row r="117">
      <x:c r="A117" s="18" t="str">
        <x:v>higgs-2020-09-12-04</x:v>
      </x:c>
      <x:c r="B117" s="18" t="str">
        <x:v>Higgs</x:v>
      </x:c>
      <x:c r="C117" s="18" t="str">
        <x:v>Blaine Higgs</x:v>
      </x:c>
      <x:c r="D117" s="18" t="str">
        <x:v>Mainstreet Research</x:v>
      </x:c>
      <x:c r="E117" s="21" t="n">
        <x:v>44086.416666666664</x:v>
      </x:c>
      <x:c r="F117" s="29" t="str">
        <x:v>Reported party shares; denominator/methodology not verified in index</x:v>
      </x:c>
      <x:c r="G117" s="52" t="n">
        <x:v>30</x:v>
      </x:c>
      <x:c r="H117" s="52" t="n">
        <x:v>37</x:v>
      </x:c>
      <x:c r="I117" s="52" t="n">
        <x:v>21</x:v>
      </x:c>
      <x:c r="J117" s="52" t="n">
        <x:v>4</x:v>
      </x:c>
      <x:c r="K117" s="52" t="n">
        <x:v>7</x:v>
      </x:c>
      <x:c r="L117" s="52"/>
      <x:c r="M117" s="52"/>
      <x:c r="N117" s="52"/>
      <x:c r="O117" s="52"/>
      <x:c r="P117" s="18" t="str">
        <x:v>C inventory</x:v>
      </x:c>
      <x:c r="Q117" s="18" t="str">
        <x:v>https://www.mainstreetresearch.ca/poll/new-brunswick-election-2020-poll-pc-37-liberal-30-green-21-ndp-4-pa-7/</x:v>
      </x:c>
      <x:c r="R117" s="18"/>
      <x:c r="S117" s="18" t="str">
        <x:v>https://en.wikipedia.org/wiki/2020_New_Brunswick_general_election</x:v>
      </x:c>
      <x:c r="T117" s="18"/>
      <x:c r="U117" s="18"/>
      <x:c r="V117" s="29" t="str">
        <x:v>Completeness inventory extracted from linked election poll table. Use only rows separately upgraded to A/B in the core model.</x:v>
      </x:c>
    </x:row>
    <x:row r="118">
      <x:c r="A118" s="19" t="str">
        <x:v>higgs-2020-09-13-03</x:v>
      </x:c>
      <x:c r="B118" s="19" t="str">
        <x:v>Higgs</x:v>
      </x:c>
      <x:c r="C118" s="19" t="str">
        <x:v>Blaine Higgs</x:v>
      </x:c>
      <x:c r="D118" s="19" t="str">
        <x:v>Forum Research Inc.</x:v>
      </x:c>
      <x:c r="E118" s="50" t="n">
        <x:v>44087.416666666664</x:v>
      </x:c>
      <x:c r="F118" s="30" t="str">
        <x:v>Reported party shares; denominator/methodology not verified in index</x:v>
      </x:c>
      <x:c r="G118" s="53" t="n">
        <x:v>30</x:v>
      </x:c>
      <x:c r="H118" s="53" t="n">
        <x:v>37</x:v>
      </x:c>
      <x:c r="I118" s="53" t="n">
        <x:v>21</x:v>
      </x:c>
      <x:c r="J118" s="53" t="n">
        <x:v>4</x:v>
      </x:c>
      <x:c r="K118" s="53" t="n">
        <x:v>8</x:v>
      </x:c>
      <x:c r="L118" s="53"/>
      <x:c r="M118" s="53"/>
      <x:c r="N118" s="53"/>
      <x:c r="O118" s="53"/>
      <x:c r="P118" s="19" t="str">
        <x:v>C inventory</x:v>
      </x:c>
      <x:c r="Q118" s="19" t="str">
        <x:v>http://poll.forumresearch.com/post/3063/new-brunswick-headed-toward-pc-majority</x:v>
      </x:c>
      <x:c r="R118" s="19"/>
      <x:c r="S118" s="19" t="str">
        <x:v>https://en.wikipedia.org/wiki/2020_New_Brunswick_general_election</x:v>
      </x:c>
      <x:c r="T118" s="19"/>
      <x:c r="U118" s="19"/>
      <x:c r="V118" s="30" t="str">
        <x:v>Completeness inventory extracted from linked election poll table. Use only rows separately upgraded to A/B in the core model.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25" hidden="0" customWidth="1"/>
    <x:col min="5" max="5" width="20" hidden="0" customWidth="1"/>
  </x:cols>
  <x:sheetData>
    <x:row r="1" ht="30" customHeight="1">
      <x:c r="A1" s="4" t="str">
        <x:v>Historical polling coverage</x:v>
      </x:c>
      <x:c r="B1" s="4" t="str">
        <x:v>Historical polling coverage</x:v>
      </x:c>
      <x:c r="C1" s="4" t="str">
        <x:v>Historical polling coverage</x:v>
      </x:c>
      <x:c r="D1" s="4" t="str">
        <x:v>Historical polling coverage</x:v>
      </x:c>
      <x:c r="E1" s="4" t="str">
        <x:v>Historical polling coverage</x:v>
      </x:c>
    </x:row>
    <x:row r="2" ht="25" customHeight="1">
      <x:c r="A2" s="161" t="str">
        <x:v>Counts come from the linked historical inventory. A long inventory is not equivalent to complete primary-source metadata.</x:v>
      </x:c>
      <x:c r="B2" s="161" t="str">
        <x:v>Counts come from the linked historical inventory. A long inventory is not equivalent to complete primary-source metadata.</x:v>
      </x:c>
      <x:c r="C2" s="161" t="str">
        <x:v>Counts come from the linked historical inventory. A long inventory is not equivalent to complete primary-source metadata.</x:v>
      </x:c>
      <x:c r="D2" s="161" t="str">
        <x:v>Counts come from the linked historical inventory. A long inventory is not equivalent to complete primary-source metadata.</x:v>
      </x:c>
      <x:c r="E2" s="161" t="str">
        <x:v>Counts come from the linked historical inventory. A long inventory is not equivalent to complete primary-source metadata.</x:v>
      </x:c>
    </x:row>
    <x:row r="3">
      <x:c r="A3" s="162"/>
      <x:c r="B3" s="162"/>
      <x:c r="C3" s="162"/>
      <x:c r="D3" s="162"/>
      <x:c r="E3" s="162"/>
    </x:row>
    <x:row r="4" ht="30" customHeight="1">
      <x:c r="A4" s="39" t="str">
        <x:v>Government</x:v>
      </x:c>
      <x:c r="B4" s="40" t="str">
        <x:v>Year</x:v>
      </x:c>
      <x:c r="C4" s="40" t="str">
        <x:v>Poll count</x:v>
      </x:c>
      <x:c r="D4" s="40" t="str">
        <x:v>Government-wide maximum gap</x:v>
      </x:c>
      <x:c r="E4" s="41" t="str">
        <x:v>Gap over 120 days</x:v>
      </x:c>
    </x:row>
    <x:row r="5">
      <x:c r="A5" s="17" t="str">
        <x:v>Alward</x:v>
      </x:c>
      <x:c r="B5" s="17" t="n">
        <x:v>2010</x:v>
      </x:c>
      <x:c r="C5" s="17" t="n">
        <x:v>1</x:v>
      </x:c>
      <x:c r="D5" s="17" t="n">
        <x:v>97</x:v>
      </x:c>
      <x:c r="E5" s="47" t="b">
        <x:v>0</x:v>
      </x:c>
    </x:row>
    <x:row r="6">
      <x:c r="A6" s="18" t="str">
        <x:v>Alward</x:v>
      </x:c>
      <x:c r="B6" s="18" t="n">
        <x:v>2011</x:v>
      </x:c>
      <x:c r="C6" s="18" t="n">
        <x:v>4</x:v>
      </x:c>
      <x:c r="D6" s="18" t="n">
        <x:v>97</x:v>
      </x:c>
      <x:c r="E6" s="48" t="b">
        <x:v>0</x:v>
      </x:c>
    </x:row>
    <x:row r="7">
      <x:c r="A7" s="18" t="str">
        <x:v>Alward</x:v>
      </x:c>
      <x:c r="B7" s="18" t="n">
        <x:v>2012</x:v>
      </x:c>
      <x:c r="C7" s="18" t="n">
        <x:v>4</x:v>
      </x:c>
      <x:c r="D7" s="18" t="n">
        <x:v>97</x:v>
      </x:c>
      <x:c r="E7" s="48" t="b">
        <x:v>0</x:v>
      </x:c>
    </x:row>
    <x:row r="8">
      <x:c r="A8" s="18" t="str">
        <x:v>Alward</x:v>
      </x:c>
      <x:c r="B8" s="18" t="n">
        <x:v>2013</x:v>
      </x:c>
      <x:c r="C8" s="18" t="n">
        <x:v>4</x:v>
      </x:c>
      <x:c r="D8" s="18" t="n">
        <x:v>97</x:v>
      </x:c>
      <x:c r="E8" s="48" t="b">
        <x:v>0</x:v>
      </x:c>
    </x:row>
    <x:row r="9">
      <x:c r="A9" s="18" t="str">
        <x:v>Alward</x:v>
      </x:c>
      <x:c r="B9" s="18" t="n">
        <x:v>2014</x:v>
      </x:c>
      <x:c r="C9" s="18" t="n">
        <x:v>8</x:v>
      </x:c>
      <x:c r="D9" s="18" t="n">
        <x:v>97</x:v>
      </x:c>
      <x:c r="E9" s="48" t="b">
        <x:v>0</x:v>
      </x:c>
    </x:row>
    <x:row r="10">
      <x:c r="A10" s="18" t="str">
        <x:v>Gallant</x:v>
      </x:c>
      <x:c r="B10" s="18" t="n">
        <x:v>2014</x:v>
      </x:c>
      <x:c r="C10" s="18" t="n">
        <x:v>1</x:v>
      </x:c>
      <x:c r="D10" s="18" t="n">
        <x:v>99</x:v>
      </x:c>
      <x:c r="E10" s="48" t="b">
        <x:v>0</x:v>
      </x:c>
    </x:row>
    <x:row r="11">
      <x:c r="A11" s="18" t="str">
        <x:v>Gallant</x:v>
      </x:c>
      <x:c r="B11" s="18" t="n">
        <x:v>2015</x:v>
      </x:c>
      <x:c r="C11" s="18" t="n">
        <x:v>4</x:v>
      </x:c>
      <x:c r="D11" s="18" t="n">
        <x:v>99</x:v>
      </x:c>
      <x:c r="E11" s="48" t="b">
        <x:v>0</x:v>
      </x:c>
    </x:row>
    <x:row r="12">
      <x:c r="A12" s="18" t="str">
        <x:v>Gallant</x:v>
      </x:c>
      <x:c r="B12" s="18" t="n">
        <x:v>2016</x:v>
      </x:c>
      <x:c r="C12" s="18" t="n">
        <x:v>7</x:v>
      </x:c>
      <x:c r="D12" s="18" t="n">
        <x:v>99</x:v>
      </x:c>
      <x:c r="E12" s="48" t="b">
        <x:v>0</x:v>
      </x:c>
    </x:row>
    <x:row r="13">
      <x:c r="A13" s="18" t="str">
        <x:v>Gallant</x:v>
      </x:c>
      <x:c r="B13" s="18" t="n">
        <x:v>2017</x:v>
      </x:c>
      <x:c r="C13" s="18" t="n">
        <x:v>9</x:v>
      </x:c>
      <x:c r="D13" s="18" t="n">
        <x:v>99</x:v>
      </x:c>
      <x:c r="E13" s="48" t="b">
        <x:v>0</x:v>
      </x:c>
    </x:row>
    <x:row r="14">
      <x:c r="A14" s="18" t="str">
        <x:v>Gallant</x:v>
      </x:c>
      <x:c r="B14" s="18" t="n">
        <x:v>2018</x:v>
      </x:c>
      <x:c r="C14" s="18" t="n">
        <x:v>14</x:v>
      </x:c>
      <x:c r="D14" s="18" t="n">
        <x:v>99</x:v>
      </x:c>
      <x:c r="E14" s="48" t="b">
        <x:v>0</x:v>
      </x:c>
    </x:row>
    <x:row r="15">
      <x:c r="A15" s="18" t="str">
        <x:v>Graham</x:v>
      </x:c>
      <x:c r="B15" s="18" t="n">
        <x:v>2006</x:v>
      </x:c>
      <x:c r="C15" s="18" t="n">
        <x:v>1</x:v>
      </x:c>
      <x:c r="D15" s="18" t="n">
        <x:v>123</x:v>
      </x:c>
      <x:c r="E15" s="48" t="b">
        <x:v>1</x:v>
      </x:c>
    </x:row>
    <x:row r="16">
      <x:c r="A16" s="18" t="str">
        <x:v>Graham</x:v>
      </x:c>
      <x:c r="B16" s="18" t="n">
        <x:v>2007</x:v>
      </x:c>
      <x:c r="C16" s="18" t="n">
        <x:v>4</x:v>
      </x:c>
      <x:c r="D16" s="18" t="n">
        <x:v>123</x:v>
      </x:c>
      <x:c r="E16" s="48" t="b">
        <x:v>1</x:v>
      </x:c>
    </x:row>
    <x:row r="17">
      <x:c r="A17" s="18" t="str">
        <x:v>Graham</x:v>
      </x:c>
      <x:c r="B17" s="18" t="n">
        <x:v>2008</x:v>
      </x:c>
      <x:c r="C17" s="18" t="n">
        <x:v>4</x:v>
      </x:c>
      <x:c r="D17" s="18" t="n">
        <x:v>123</x:v>
      </x:c>
      <x:c r="E17" s="48" t="b">
        <x:v>1</x:v>
      </x:c>
    </x:row>
    <x:row r="18">
      <x:c r="A18" s="18" t="str">
        <x:v>Graham</x:v>
      </x:c>
      <x:c r="B18" s="18" t="n">
        <x:v>2009</x:v>
      </x:c>
      <x:c r="C18" s="18" t="n">
        <x:v>5</x:v>
      </x:c>
      <x:c r="D18" s="18" t="n">
        <x:v>123</x:v>
      </x:c>
      <x:c r="E18" s="48" t="b">
        <x:v>1</x:v>
      </x:c>
    </x:row>
    <x:row r="19">
      <x:c r="A19" s="18" t="str">
        <x:v>Graham</x:v>
      </x:c>
      <x:c r="B19" s="18" t="n">
        <x:v>2010</x:v>
      </x:c>
      <x:c r="C19" s="18" t="n">
        <x:v>21</x:v>
      </x:c>
      <x:c r="D19" s="18" t="n">
        <x:v>123</x:v>
      </x:c>
      <x:c r="E19" s="48" t="b">
        <x:v>1</x:v>
      </x:c>
    </x:row>
    <x:row r="20">
      <x:c r="A20" s="18" t="str">
        <x:v>Higgs</x:v>
      </x:c>
      <x:c r="B20" s="18" t="n">
        <x:v>2018</x:v>
      </x:c>
      <x:c r="C20" s="18" t="n">
        <x:v>3</x:v>
      </x:c>
      <x:c r="D20" s="18" t="n">
        <x:v>97</x:v>
      </x:c>
      <x:c r="E20" s="48" t="b">
        <x:v>0</x:v>
      </x:c>
    </x:row>
    <x:row r="21">
      <x:c r="A21" s="18" t="str">
        <x:v>Higgs</x:v>
      </x:c>
      <x:c r="B21" s="18" t="n">
        <x:v>2019</x:v>
      </x:c>
      <x:c r="C21" s="18" t="n">
        <x:v>7</x:v>
      </x:c>
      <x:c r="D21" s="18" t="n">
        <x:v>97</x:v>
      </x:c>
      <x:c r="E21" s="48" t="b">
        <x:v>0</x:v>
      </x:c>
    </x:row>
    <x:row r="22">
      <x:c r="A22" s="19" t="str">
        <x:v>Higgs</x:v>
      </x:c>
      <x:c r="B22" s="19" t="n">
        <x:v>2020</x:v>
      </x:c>
      <x:c r="C22" s="19" t="n">
        <x:v>13</x:v>
      </x:c>
      <x:c r="D22" s="19" t="n">
        <x:v>97</x:v>
      </x:c>
      <x:c r="E22" s="49" t="b">
        <x:v>0</x:v>
      </x:c>
    </x:row>
  </x:sheetData>
  <x:mergeCells>
    <x:mergeCell ref="A1:E1"/>
    <x:mergeCell ref="A2:E2"/>
  </x:mergeCells>
  <x:conditionalFormatting sqref="E5:E22">
    <x:cfRule type="cellIs" dxfId="1" priority="1" operator="equal">
      <x:formula>TRUE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0" hidden="0" customWidth="1"/>
    <x:col min="12" max="12" width="10" hidden="0" customWidth="1"/>
    <x:col min="13" max="13" width="10" hidden="0" customWidth="1"/>
    <x:col min="14" max="14" width="11" hidden="0" customWidth="1"/>
    <x:col min="15" max="15" width="10" hidden="0" customWidth="1"/>
    <x:col min="16" max="16" width="10" hidden="0" customWidth="1"/>
    <x:col min="17" max="17" width="9" hidden="0" customWidth="1"/>
    <x:col min="18" max="18" width="9" hidden="0" customWidth="1"/>
    <x:col min="19" max="19" width="11" hidden="0" customWidth="1"/>
    <x:col min="20" max="20" width="10" hidden="0" customWidth="1"/>
    <x:col min="21" max="21" width="9" hidden="0" customWidth="1"/>
    <x:col min="22" max="22" width="10" hidden="0" customWidth="1"/>
    <x:col min="23" max="23" width="16" hidden="0" customWidth="1"/>
    <x:col min="24" max="24" width="12" hidden="0" customWidth="1"/>
    <x:col min="25" max="25" width="9" hidden="0" customWidth="1"/>
    <x:col min="26" max="26" width="60" hidden="0" customWidth="1"/>
  </x:cols>
  <x:sheetData>
    <x:row r="1" ht="30" customHeight="1">
      <x:c r="A1" s="4" t="str">
        <x:v>Official New Brunswick election dataset, 2006-2024</x:v>
      </x:c>
      <x:c r="B1" s="4" t="str">
        <x:v>Official New Brunswick election dataset, 2006-2024</x:v>
      </x:c>
      <x:c r="C1" s="4" t="str">
        <x:v>Official New Brunswick election dataset, 2006-2024</x:v>
      </x:c>
      <x:c r="D1" s="4" t="str">
        <x:v>Official New Brunswick election dataset, 2006-2024</x:v>
      </x:c>
      <x:c r="E1" s="4" t="str">
        <x:v>Official New Brunswick election dataset, 2006-2024</x:v>
      </x:c>
      <x:c r="F1" s="4" t="str">
        <x:v>Official New Brunswick election dataset, 2006-2024</x:v>
      </x:c>
      <x:c r="G1" s="4" t="str">
        <x:v>Official New Brunswick election dataset, 2006-2024</x:v>
      </x:c>
      <x:c r="H1" s="4" t="str">
        <x:v>Official New Brunswick election dataset, 2006-2024</x:v>
      </x:c>
      <x:c r="I1" s="4" t="str">
        <x:v>Official New Brunswick election dataset, 2006-2024</x:v>
      </x:c>
      <x:c r="J1" s="4" t="str">
        <x:v>Official New Brunswick election dataset, 2006-2024</x:v>
      </x:c>
      <x:c r="K1" s="4" t="str">
        <x:v>Official New Brunswick election dataset, 2006-2024</x:v>
      </x:c>
      <x:c r="L1" s="4" t="str">
        <x:v>Official New Brunswick election dataset, 2006-2024</x:v>
      </x:c>
      <x:c r="M1" s="4" t="str">
        <x:v>Official New Brunswick election dataset, 2006-2024</x:v>
      </x:c>
      <x:c r="N1" s="4" t="str">
        <x:v>Official New Brunswick election dataset, 2006-2024</x:v>
      </x:c>
      <x:c r="O1" s="4" t="str">
        <x:v>Official New Brunswick election dataset, 2006-2024</x:v>
      </x:c>
      <x:c r="P1" s="4" t="str">
        <x:v>Official New Brunswick election dataset, 2006-2024</x:v>
      </x:c>
      <x:c r="Q1" s="4" t="str">
        <x:v>Official New Brunswick election dataset, 2006-2024</x:v>
      </x:c>
      <x:c r="R1" s="4" t="str">
        <x:v>Official New Brunswick election dataset, 2006-2024</x:v>
      </x:c>
      <x:c r="S1" s="4" t="str">
        <x:v>Official New Brunswick election dataset, 2006-2024</x:v>
      </x:c>
      <x:c r="T1" s="4" t="str">
        <x:v>Official New Brunswick election dataset, 2006-2024</x:v>
      </x:c>
      <x:c r="U1" s="4" t="str">
        <x:v>Official New Brunswick election dataset, 2006-2024</x:v>
      </x:c>
      <x:c r="V1" s="4" t="str">
        <x:v>Official New Brunswick election dataset, 2006-2024</x:v>
      </x:c>
      <x:c r="W1" s="4" t="str">
        <x:v>Official New Brunswick election dataset, 2006-2024</x:v>
      </x:c>
      <x:c r="X1" s="4" t="str">
        <x:v>Official New Brunswick election dataset, 2006-2024</x:v>
      </x:c>
      <x:c r="Y1" s="4" t="str">
        <x:v>Official New Brunswick election dataset, 2006-2024</x:v>
      </x:c>
      <x:c r="Z1" s="4" t="str">
        <x:v>Official New Brunswick election dataset, 2006-2024</x:v>
      </x:c>
    </x:row>
    <x:row r="2" ht="25" customHeight="1">
      <x:c r="A2" s="161" t="str">
        <x:v>Vote shares use valid ballots for cross-election comparability. Raw votes and source URLs are retained.</x:v>
      </x:c>
      <x:c r="B2" s="161" t="str">
        <x:v>Vote shares use valid ballots for cross-election comparability. Raw votes and source URLs are retained.</x:v>
      </x:c>
      <x:c r="C2" s="161" t="str">
        <x:v>Vote shares use valid ballots for cross-election comparability. Raw votes and source URLs are retained.</x:v>
      </x:c>
      <x:c r="D2" s="161" t="str">
        <x:v>Vote shares use valid ballots for cross-election comparability. Raw votes and source URLs are retained.</x:v>
      </x:c>
      <x:c r="E2" s="161" t="str">
        <x:v>Vote shares use valid ballots for cross-election comparability. Raw votes and source URLs are retained.</x:v>
      </x:c>
      <x:c r="F2" s="161" t="str">
        <x:v>Vote shares use valid ballots for cross-election comparability. Raw votes and source URLs are retained.</x:v>
      </x:c>
      <x:c r="G2" s="161" t="str">
        <x:v>Vote shares use valid ballots for cross-election comparability. Raw votes and source URLs are retained.</x:v>
      </x:c>
      <x:c r="H2" s="161" t="str">
        <x:v>Vote shares use valid ballots for cross-election comparability. Raw votes and source URLs are retained.</x:v>
      </x:c>
      <x:c r="I2" s="161" t="str">
        <x:v>Vote shares use valid ballots for cross-election comparability. Raw votes and source URLs are retained.</x:v>
      </x:c>
      <x:c r="J2" s="161" t="str">
        <x:v>Vote shares use valid ballots for cross-election comparability. Raw votes and source URLs are retained.</x:v>
      </x:c>
      <x:c r="K2" s="161" t="str">
        <x:v>Vote shares use valid ballots for cross-election comparability. Raw votes and source URLs are retained.</x:v>
      </x:c>
      <x:c r="L2" s="161" t="str">
        <x:v>Vote shares use valid ballots for cross-election comparability. Raw votes and source URLs are retained.</x:v>
      </x:c>
      <x:c r="M2" s="161" t="str">
        <x:v>Vote shares use valid ballots for cross-election comparability. Raw votes and source URLs are retained.</x:v>
      </x:c>
      <x:c r="N2" s="161" t="str">
        <x:v>Vote shares use valid ballots for cross-election comparability. Raw votes and source URLs are retained.</x:v>
      </x:c>
      <x:c r="O2" s="161" t="str">
        <x:v>Vote shares use valid ballots for cross-election comparability. Raw votes and source URLs are retained.</x:v>
      </x:c>
      <x:c r="P2" s="161" t="str">
        <x:v>Vote shares use valid ballots for cross-election comparability. Raw votes and source URLs are retained.</x:v>
      </x:c>
      <x:c r="Q2" s="161" t="str">
        <x:v>Vote shares use valid ballots for cross-election comparability. Raw votes and source URLs are retained.</x:v>
      </x:c>
      <x:c r="R2" s="161" t="str">
        <x:v>Vote shares use valid ballots for cross-election comparability. Raw votes and source URLs are retained.</x:v>
      </x:c>
      <x:c r="S2" s="161" t="str">
        <x:v>Vote shares use valid ballots for cross-election comparability. Raw votes and source URLs are retained.</x:v>
      </x:c>
      <x:c r="T2" s="161" t="str">
        <x:v>Vote shares use valid ballots for cross-election comparability. Raw votes and source URLs are retained.</x:v>
      </x:c>
      <x:c r="U2" s="161" t="str">
        <x:v>Vote shares use valid ballots for cross-election comparability. Raw votes and source URLs are retained.</x:v>
      </x:c>
      <x:c r="V2" s="161" t="str">
        <x:v>Vote shares use valid ballots for cross-election comparability. Raw votes and source URLs are retained.</x:v>
      </x:c>
      <x:c r="W2" s="161" t="str">
        <x:v>Vote shares use valid ballots for cross-election comparability. Raw votes and source URLs are retained.</x:v>
      </x:c>
      <x:c r="X2" s="161" t="str">
        <x:v>Vote shares use valid ballots for cross-election comparability. Raw votes and source URLs are retained.</x:v>
      </x:c>
      <x:c r="Y2" s="161" t="str">
        <x:v>Vote shares use valid ballots for cross-election comparability. Raw votes and source URLs are retained.</x:v>
      </x:c>
      <x:c r="Z2" s="161" t="str">
        <x:v>Vote shares use valid ballots for cross-election comparability. Raw votes and source URLs are retained.</x:v>
      </x:c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  <x:c r="L3" s="162"/>
      <x:c r="M3" s="162"/>
      <x:c r="N3" s="162"/>
      <x:c r="O3" s="162"/>
      <x:c r="P3" s="162"/>
      <x:c r="Q3" s="162"/>
      <x:c r="R3" s="162"/>
      <x:c r="S3" s="162"/>
      <x:c r="T3" s="162"/>
      <x:c r="U3" s="162"/>
      <x:c r="V3" s="162"/>
      <x:c r="W3" s="162"/>
      <x:c r="X3" s="162"/>
      <x:c r="Y3" s="162"/>
      <x:c r="Z3" s="162"/>
    </x:row>
    <x:row r="4" ht="30" customHeight="1">
      <x:c r="A4" s="39" t="str">
        <x:v>Election</x:v>
      </x:c>
      <x:c r="B4" s="40" t="str">
        <x:v>Date</x:v>
      </x:c>
      <x:c r="C4" s="40" t="str">
        <x:v>L votes</x:v>
      </x:c>
      <x:c r="D4" s="40" t="str">
        <x:v>PC votes</x:v>
      </x:c>
      <x:c r="E4" s="40" t="str">
        <x:v>Green votes</x:v>
      </x:c>
      <x:c r="F4" s="40" t="str">
        <x:v>NDP votes</x:v>
      </x:c>
      <x:c r="G4" s="40" t="str">
        <x:v>PA votes</x:v>
      </x:c>
      <x:c r="H4" s="40" t="str">
        <x:v>Other votes</x:v>
      </x:c>
      <x:c r="I4" s="40" t="str">
        <x:v>Valid votes</x:v>
      </x:c>
      <x:c r="J4" s="40" t="str">
        <x:v>Rejected</x:v>
      </x:c>
      <x:c r="K4" s="40" t="str">
        <x:v>Turnout</x:v>
      </x:c>
      <x:c r="L4" s="40" t="str">
        <x:v>L share</x:v>
      </x:c>
      <x:c r="M4" s="40" t="str">
        <x:v>PC share</x:v>
      </x:c>
      <x:c r="N4" s="40" t="str">
        <x:v>Green share</x:v>
      </x:c>
      <x:c r="O4" s="40" t="str">
        <x:v>NDP share</x:v>
      </x:c>
      <x:c r="P4" s="40" t="str">
        <x:v>PA share</x:v>
      </x:c>
      <x:c r="Q4" s="40" t="str">
        <x:v>L seats</x:v>
      </x:c>
      <x:c r="R4" s="40" t="str">
        <x:v>PC seats</x:v>
      </x:c>
      <x:c r="S4" s="40" t="str">
        <x:v>Green seats</x:v>
      </x:c>
      <x:c r="T4" s="40" t="str">
        <x:v>NDP seats</x:v>
      </x:c>
      <x:c r="U4" s="40" t="str">
        <x:v>PA seats</x:v>
      </x:c>
      <x:c r="V4" s="40" t="str">
        <x:v>Total seats</x:v>
      </x:c>
      <x:c r="W4" s="40" t="str">
        <x:v>Majority threshold</x:v>
      </x:c>
      <x:c r="X4" s="40" t="str">
        <x:v>Government</x:v>
      </x:c>
      <x:c r="Y4" s="40" t="str">
        <x:v>Early</x:v>
      </x:c>
      <x:c r="Z4" s="41" t="str">
        <x:v>Source URL</x:v>
      </x:c>
    </x:row>
    <x:row r="5">
      <x:c r="A5" s="17" t="n">
        <x:v>2006</x:v>
      </x:c>
      <x:c r="B5" s="20" t="n">
        <x:v>38978.416666666664</x:v>
      </x:c>
      <x:c r="C5" s="105" t="n">
        <x:v>176443</x:v>
      </x:c>
      <x:c r="D5" s="105" t="n">
        <x:v>177582</x:v>
      </x:c>
      <x:c r="E5" s="105" t="n">
        <x:v>0</x:v>
      </x:c>
      <x:c r="F5" s="105" t="n">
        <x:v>19196</x:v>
      </x:c>
      <x:c r="G5" s="105" t="n">
        <x:v>0</x:v>
      </x:c>
      <x:c r="H5" s="105" t="n">
        <x:v>935</x:v>
      </x:c>
      <x:c r="I5" s="105" t="n">
        <x:v>374156</x:v>
      </x:c>
      <x:c r="J5" s="105" t="n">
        <x:v>3091</x:v>
      </x:c>
      <x:c r="K5" s="108" t="n">
        <x:v>67.52</x:v>
      </x:c>
      <x:c r="L5" s="111" t="n">
        <x:f>C5/I5</x:f>
        <x:v>0.47157602711168606</x:v>
      </x:c>
      <x:c r="M5" s="111" t="n">
        <x:f>D5/I5</x:f>
        <x:v>0.47462021189022763</x:v>
      </x:c>
      <x:c r="N5" s="111" t="n">
        <x:f>E5/I5</x:f>
        <x:v>0</x:v>
      </x:c>
      <x:c r="O5" s="111" t="n">
        <x:f>F5/I5</x:f>
        <x:v>0.0513048033440597</x:v>
      </x:c>
      <x:c r="P5" s="111" t="n">
        <x:f>G5/I5</x:f>
        <x:v>0</x:v>
      </x:c>
      <x:c r="Q5" s="114" t="n">
        <x:v>29</x:v>
      </x:c>
      <x:c r="R5" s="114" t="n">
        <x:v>26</x:v>
      </x:c>
      <x:c r="S5" s="114" t="n">
        <x:v>0</x:v>
      </x:c>
      <x:c r="T5" s="114" t="n">
        <x:v>0</x:v>
      </x:c>
      <x:c r="U5" s="114" t="n">
        <x:v>0</x:v>
      </x:c>
      <x:c r="V5" s="114" t="n">
        <x:v>55</x:v>
      </x:c>
      <x:c r="W5" s="114" t="n">
        <x:f>INT(V5/2)+1</x:f>
        <x:v>28</x:v>
      </x:c>
      <x:c r="X5" s="17" t="str">
        <x:v>Liberal</x:v>
      </x:c>
      <x:c r="Y5" s="47" t="b">
        <x:v>0</x:v>
      </x:c>
      <x:c r="Z5" s="17" t="str">
        <x:v>https://www.electionsnb.ca/content/dam/enb/pdf/2006ProvRpt.pdf</x:v>
      </x:c>
    </x:row>
    <x:row r="6">
      <x:c r="A6" s="18" t="n">
        <x:v>2010</x:v>
      </x:c>
      <x:c r="B6" s="21" t="n">
        <x:v>40448.416666666664</x:v>
      </x:c>
      <x:c r="C6" s="106" t="n">
        <x:v>128078</x:v>
      </x:c>
      <x:c r="D6" s="106" t="n">
        <x:v>181397</x:v>
      </x:c>
      <x:c r="E6" s="106" t="n">
        <x:v>16943</x:v>
      </x:c>
      <x:c r="F6" s="106" t="n">
        <x:v>38686</x:v>
      </x:c>
      <x:c r="G6" s="106" t="n">
        <x:v>4363</x:v>
      </x:c>
      <x:c r="H6" s="106" t="n">
        <x:v>2275</x:v>
      </x:c>
      <x:c r="I6" s="106" t="n">
        <x:v>371742</x:v>
      </x:c>
      <x:c r="J6" s="106" t="n">
        <x:v>3160</x:v>
      </x:c>
      <x:c r="K6" s="109" t="n">
        <x:v>69.56</x:v>
      </x:c>
      <x:c r="L6" s="112" t="n">
        <x:f>C6/I6</x:f>
        <x:v>0.3445346503757983</x:v>
      </x:c>
      <x:c r="M6" s="112" t="n">
        <x:f>D6/I6</x:f>
        <x:v>0.48796477126609317</x:v>
      </x:c>
      <x:c r="N6" s="112" t="n">
        <x:f>E6/I6</x:f>
        <x:v>0.04557730899387209</x:v>
      </x:c>
      <x:c r="O6" s="112" t="n">
        <x:f>F6/I6</x:f>
        <x:v>0.10406679901652222</x:v>
      </x:c>
      <x:c r="P6" s="112" t="n">
        <x:f>G6/I6</x:f>
        <x:v>0.011736634547616358</x:v>
      </x:c>
      <x:c r="Q6" s="115" t="n">
        <x:v>13</x:v>
      </x:c>
      <x:c r="R6" s="115" t="n">
        <x:v>42</x:v>
      </x:c>
      <x:c r="S6" s="115" t="n">
        <x:v>0</x:v>
      </x:c>
      <x:c r="T6" s="115" t="n">
        <x:v>0</x:v>
      </x:c>
      <x:c r="U6" s="115" t="n">
        <x:v>0</x:v>
      </x:c>
      <x:c r="V6" s="115" t="n">
        <x:v>55</x:v>
      </x:c>
      <x:c r="W6" s="115" t="n">
        <x:f>INT(V6/2)+1</x:f>
        <x:v>28</x:v>
      </x:c>
      <x:c r="X6" s="18" t="str">
        <x:v>PC</x:v>
      </x:c>
      <x:c r="Y6" s="48" t="b">
        <x:v>0</x:v>
      </x:c>
      <x:c r="Z6" s="18" t="str">
        <x:v>https://www.electionsnb.ca/content/dam/enb/pdf/2010ProvRpt.pdf</x:v>
      </x:c>
    </x:row>
    <x:row r="7">
      <x:c r="A7" s="18" t="n">
        <x:v>2014</x:v>
      </x:c>
      <x:c r="B7" s="21" t="n">
        <x:v>41904.416666666664</x:v>
      </x:c>
      <x:c r="C7" s="106" t="n">
        <x:v>158852</x:v>
      </x:c>
      <x:c r="D7" s="106" t="n">
        <x:v>128799</x:v>
      </x:c>
      <x:c r="E7" s="106" t="n">
        <x:v>24572</x:v>
      </x:c>
      <x:c r="F7" s="106" t="n">
        <x:v>48259</x:v>
      </x:c>
      <x:c r="G7" s="106" t="n">
        <x:v>7964</x:v>
      </x:c>
      <x:c r="H7" s="106" t="n">
        <x:v>3293</x:v>
      </x:c>
      <x:c r="I7" s="106" t="n">
        <x:v>371739</x:v>
      </x:c>
      <x:c r="J7" s="106" t="n">
        <x:v>1622</x:v>
      </x:c>
      <x:c r="K7" s="109" t="n">
        <x:v>64.65</x:v>
      </x:c>
      <x:c r="L7" s="112" t="n">
        <x:f>C7/I7</x:f>
        <x:v>0.4273213195279484</x:v>
      </x:c>
      <x:c r="M7" s="112" t="n">
        <x:f>D7/I7</x:f>
        <x:v>0.3464769636761276</x:v>
      </x:c>
      <x:c r="N7" s="112" t="n">
        <x:f>E7/I7</x:f>
        <x:v>0.06610014015209596</x:v>
      </x:c>
      <x:c r="O7" s="112" t="n">
        <x:f>F7/I7</x:f>
        <x:v>0.12981957771447172</x:v>
      </x:c>
      <x:c r="P7" s="112" t="n">
        <x:f>G7/I7</x:f>
        <x:v>0.02142363324805845</x:v>
      </x:c>
      <x:c r="Q7" s="115" t="n">
        <x:v>27</x:v>
      </x:c>
      <x:c r="R7" s="115" t="n">
        <x:v>21</x:v>
      </x:c>
      <x:c r="S7" s="115" t="n">
        <x:v>1</x:v>
      </x:c>
      <x:c r="T7" s="115" t="n">
        <x:v>0</x:v>
      </x:c>
      <x:c r="U7" s="115" t="n">
        <x:v>0</x:v>
      </x:c>
      <x:c r="V7" s="115" t="n">
        <x:v>49</x:v>
      </x:c>
      <x:c r="W7" s="115" t="n">
        <x:f>INT(V7/2)+1</x:f>
        <x:v>25</x:v>
      </x:c>
      <x:c r="X7" s="18" t="str">
        <x:v>Liberal</x:v>
      </x:c>
      <x:c r="Y7" s="48" t="b">
        <x:v>0</x:v>
      </x:c>
      <x:c r="Z7" s="18" t="str">
        <x:v>https://www.electionsnb.ca/content/dam/enb/pdf/2014ProvRpt1.pdf</x:v>
      </x:c>
    </x:row>
    <x:row r="8">
      <x:c r="A8" s="18" t="n">
        <x:v>2018</x:v>
      </x:c>
      <x:c r="B8" s="21" t="n">
        <x:v>43367.416666666664</x:v>
      </x:c>
      <x:c r="C8" s="106" t="n">
        <x:v>143791</x:v>
      </x:c>
      <x:c r="D8" s="106" t="n">
        <x:v>121300</x:v>
      </x:c>
      <x:c r="E8" s="106" t="n">
        <x:v>45186</x:v>
      </x:c>
      <x:c r="F8" s="106" t="n">
        <x:v>19039</x:v>
      </x:c>
      <x:c r="G8" s="106" t="n">
        <x:v>47860</x:v>
      </x:c>
      <x:c r="H8" s="106" t="n">
        <x:v>3187</x:v>
      </x:c>
      <x:c r="I8" s="106" t="n">
        <x:v>380363</x:v>
      </x:c>
      <x:c r="J8" s="106" t="n">
        <x:v>1414</x:v>
      </x:c>
      <x:c r="K8" s="109" t="n">
        <x:v>66.4</x:v>
      </x:c>
      <x:c r="L8" s="112" t="n">
        <x:f>C8/I8</x:f>
        <x:v>0.37803624432450056</x:v>
      </x:c>
      <x:c r="M8" s="112" t="n">
        <x:f>D8/I8</x:f>
        <x:v>0.3189058872708439</x:v>
      </x:c>
      <x:c r="N8" s="112" t="n">
        <x:f>E8/I8</x:f>
        <x:v>0.11879704387650744</x:v>
      </x:c>
      <x:c r="O8" s="112" t="n">
        <x:f>F8/I8</x:f>
        <x:v>0.05005481605729264</x:v>
      </x:c>
      <x:c r="P8" s="112" t="n">
        <x:f>G8/I8</x:f>
        <x:v>0.12582717036094468</x:v>
      </x:c>
      <x:c r="Q8" s="115" t="n">
        <x:v>21</x:v>
      </x:c>
      <x:c r="R8" s="115" t="n">
        <x:v>22</x:v>
      </x:c>
      <x:c r="S8" s="115" t="n">
        <x:v>3</x:v>
      </x:c>
      <x:c r="T8" s="115" t="n">
        <x:v>0</x:v>
      </x:c>
      <x:c r="U8" s="115" t="n">
        <x:v>3</x:v>
      </x:c>
      <x:c r="V8" s="115" t="n">
        <x:v>49</x:v>
      </x:c>
      <x:c r="W8" s="115" t="n">
        <x:f>INT(V8/2)+1</x:f>
        <x:v>25</x:v>
      </x:c>
      <x:c r="X8" s="18" t="str">
        <x:v>PC</x:v>
      </x:c>
      <x:c r="Y8" s="48" t="b">
        <x:v>0</x:v>
      </x:c>
      <x:c r="Z8" s="18" t="str">
        <x:v>https://www.electionsnb.ca/content/dam/enb/pdf/2018ProvRpt.pdf</x:v>
      </x:c>
    </x:row>
    <x:row r="9">
      <x:c r="A9" s="18" t="n">
        <x:v>2020</x:v>
      </x:c>
      <x:c r="B9" s="21" t="n">
        <x:v>44088.416666666664</x:v>
      </x:c>
      <x:c r="C9" s="106" t="n">
        <x:v>129025</x:v>
      </x:c>
      <x:c r="D9" s="106" t="n">
        <x:v>147790</x:v>
      </x:c>
      <x:c r="E9" s="106" t="n">
        <x:v>57252</x:v>
      </x:c>
      <x:c r="F9" s="106" t="n">
        <x:v>6220</x:v>
      </x:c>
      <x:c r="G9" s="106" t="n">
        <x:v>34526</x:v>
      </x:c>
      <x:c r="H9" s="106" t="n">
        <x:v>824</x:v>
      </x:c>
      <x:c r="I9" s="106" t="n">
        <x:v>375637</x:v>
      </x:c>
      <x:c r="J9" s="106" t="n">
        <x:v>1266</x:v>
      </x:c>
      <x:c r="K9" s="109" t="n">
        <x:v>65.04</x:v>
      </x:c>
      <x:c r="L9" s="112" t="n">
        <x:f>C9/I9</x:f>
        <x:v>0.3434832031988329</x:v>
      </x:c>
      <x:c r="M9" s="112" t="n">
        <x:f>D9/I9</x:f>
        <x:v>0.3934383460628213</x:v>
      </x:c>
      <x:c r="N9" s="112" t="n">
        <x:f>E9/I9</x:f>
        <x:v>0.15241310094585997</x:v>
      </x:c>
      <x:c r="O9" s="112" t="n">
        <x:f>F9/I9</x:f>
        <x:v>0.016558539228031317</x:v>
      </x:c>
      <x:c r="P9" s="112" t="n">
        <x:f>G9/I9</x:f>
        <x:v>0.09191320343842593</x:v>
      </x:c>
      <x:c r="Q9" s="115" t="n">
        <x:v>17</x:v>
      </x:c>
      <x:c r="R9" s="115" t="n">
        <x:v>27</x:v>
      </x:c>
      <x:c r="S9" s="115" t="n">
        <x:v>3</x:v>
      </x:c>
      <x:c r="T9" s="115" t="n">
        <x:v>0</x:v>
      </x:c>
      <x:c r="U9" s="115" t="n">
        <x:v>2</x:v>
      </x:c>
      <x:c r="V9" s="115" t="n">
        <x:v>49</x:v>
      </x:c>
      <x:c r="W9" s="115" t="n">
        <x:f>INT(V9/2)+1</x:f>
        <x:v>25</x:v>
      </x:c>
      <x:c r="X9" s="18" t="str">
        <x:v>PC</x:v>
      </x:c>
      <x:c r="Y9" s="48" t="b">
        <x:v>1</x:v>
      </x:c>
      <x:c r="Z9" s="18" t="str">
        <x:v>https://www.electionsnb.ca/content/dam/enb/pdf/2020-prov-rpt.pdf</x:v>
      </x:c>
    </x:row>
    <x:row r="10">
      <x:c r="A10" s="19" t="n">
        <x:v>2024</x:v>
      </x:c>
      <x:c r="B10" s="50" t="n">
        <x:v>45586.416666666664</x:v>
      </x:c>
      <x:c r="C10" s="107" t="n">
        <x:v>180806</x:v>
      </x:c>
      <x:c r="D10" s="107" t="n">
        <x:v>131332</x:v>
      </x:c>
      <x:c r="E10" s="107" t="n">
        <x:v>51558</x:v>
      </x:c>
      <x:c r="F10" s="107" t="n">
        <x:v>4703</x:v>
      </x:c>
      <x:c r="G10" s="107" t="n">
        <x:v>3265</x:v>
      </x:c>
      <x:c r="H10" s="107" t="n">
        <x:v>2997</x:v>
      </x:c>
      <x:c r="I10" s="107" t="n">
        <x:v>374661</x:v>
      </x:c>
      <x:c r="J10" s="107" t="n">
        <x:v>1393</x:v>
      </x:c>
      <x:c r="K10" s="110" t="n">
        <x:v>64.82</x:v>
      </x:c>
      <x:c r="L10" s="113" t="n">
        <x:f>C10/I10</x:f>
        <x:v>0.48258559070733276</x:v>
      </x:c>
      <x:c r="M10" s="113" t="n">
        <x:f>D10/I10</x:f>
        <x:v>0.35053555080459403</x:v>
      </x:c>
      <x:c r="N10" s="113" t="n">
        <x:f>E10/I10</x:f>
        <x:v>0.1376124016110564</x:v>
      </x:c>
      <x:c r="O10" s="113" t="n">
        <x:f>F10/I10</x:f>
        <x:v>0.012552680956918388</x:v>
      </x:c>
      <x:c r="P10" s="113" t="n">
        <x:f>G10/I10</x:f>
        <x:v>0.008714544614998626</x:v>
      </x:c>
      <x:c r="Q10" s="116" t="n">
        <x:v>31</x:v>
      </x:c>
      <x:c r="R10" s="116" t="n">
        <x:v>16</x:v>
      </x:c>
      <x:c r="S10" s="116" t="n">
        <x:v>2</x:v>
      </x:c>
      <x:c r="T10" s="116" t="n">
        <x:v>0</x:v>
      </x:c>
      <x:c r="U10" s="116" t="n">
        <x:v>0</x:v>
      </x:c>
      <x:c r="V10" s="116" t="n">
        <x:v>49</x:v>
      </x:c>
      <x:c r="W10" s="116" t="n">
        <x:f>INT(V10/2)+1</x:f>
        <x:v>25</x:v>
      </x:c>
      <x:c r="X10" s="19" t="str">
        <x:v>Liberal</x:v>
      </x:c>
      <x:c r="Y10" s="49" t="b">
        <x:v>0</x:v>
      </x:c>
      <x:c r="Z10" s="19" t="str">
        <x:v>https://www.electionsnb.ca/content/dam/enb/pdf/october-21-2024-forty-first-provincial-general-election.pdf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10" hidden="0" customWidth="1"/>
    <x:col min="4" max="4" width="10" hidden="0" customWidth="1"/>
    <x:col min="5" max="5" width="11" hidden="0" customWidth="1"/>
    <x:col min="6" max="6" width="30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35" hidden="0" customWidth="1"/>
  </x:cols>
  <x:sheetData>
    <x:row r="1" ht="30" customHeight="1">
      <x:c r="A1" s="4" t="str">
        <x:v>Election-held-today and illustrative seat scenarios</x:v>
      </x:c>
      <x:c r="B1" s="4" t="str">
        <x:v>Election-held-today and illustrative seat scenarios</x:v>
      </x:c>
      <x:c r="C1" s="4" t="str">
        <x:v>Election-held-today and illustrative seat scenarios</x:v>
      </x:c>
      <x:c r="D1" s="4" t="str">
        <x:v>Election-held-today and illustrative seat scenarios</x:v>
      </x:c>
      <x:c r="E1" s="4" t="str">
        <x:v>Election-held-today and illustrative seat scenarios</x:v>
      </x:c>
      <x:c r="F1" s="4" t="str">
        <x:v>Election-held-today and illustrative seat scenarios</x:v>
      </x:c>
      <x:c r="G1" s="4" t="str">
        <x:v>Election-held-today and illustrative seat scenarios</x:v>
      </x:c>
      <x:c r="H1" s="4" t="str">
        <x:v>Election-held-today and illustrative seat scenarios</x:v>
      </x:c>
      <x:c r="I1" s="4" t="str">
        <x:v>Election-held-today and illustrative seat scenarios</x:v>
      </x:c>
      <x:c r="J1" s="4" t="str">
        <x:v>Election-held-today and illustrative seat scenarios</x:v>
      </x:c>
      <x:c r="K1" s="4" t="str">
        <x:v>Election-held-today and illustrative seat scenarios</x:v>
      </x:c>
    </x:row>
    <x:row r="2" ht="25" customHeight="1">
      <x:c r="A2" s="161" t="str">
        <x:v>All seats come from the Riding Model sheet. Poll-specific scenarios are nowcasts; longer-horizon scenarios are illustrations without probabilities.</x:v>
      </x:c>
      <x:c r="B2" s="161" t="str">
        <x:v>All seats come from the Riding Model sheet. Poll-specific scenarios are nowcasts; longer-horizon scenarios are illustrations without probabilities.</x:v>
      </x:c>
      <x:c r="C2" s="161" t="str">
        <x:v>All seats come from the Riding Model sheet. Poll-specific scenarios are nowcasts; longer-horizon scenarios are illustrations without probabilities.</x:v>
      </x:c>
      <x:c r="D2" s="161" t="str">
        <x:v>All seats come from the Riding Model sheet. Poll-specific scenarios are nowcasts; longer-horizon scenarios are illustrations without probabilities.</x:v>
      </x:c>
      <x:c r="E2" s="161" t="str">
        <x:v>All seats come from the Riding Model sheet. Poll-specific scenarios are nowcasts; longer-horizon scenarios are illustrations without probabilities.</x:v>
      </x:c>
      <x:c r="F2" s="161" t="str">
        <x:v>All seats come from the Riding Model sheet. Poll-specific scenarios are nowcasts; longer-horizon scenarios are illustrations without probabilities.</x:v>
      </x:c>
      <x:c r="G2" s="161" t="str">
        <x:v>All seats come from the Riding Model sheet. Poll-specific scenarios are nowcasts; longer-horizon scenarios are illustrations without probabilities.</x:v>
      </x:c>
      <x:c r="H2" s="161" t="str">
        <x:v>All seats come from the Riding Model sheet. Poll-specific scenarios are nowcasts; longer-horizon scenarios are illustrations without probabilities.</x:v>
      </x:c>
      <x:c r="I2" s="161" t="str">
        <x:v>All seats come from the Riding Model sheet. Poll-specific scenarios are nowcasts; longer-horizon scenarios are illustrations without probabilities.</x:v>
      </x:c>
      <x:c r="J2" s="161" t="str">
        <x:v>All seats come from the Riding Model sheet. Poll-specific scenarios are nowcasts; longer-horizon scenarios are illustrations without probabilities.</x:v>
      </x:c>
      <x:c r="K2" s="161" t="str">
        <x:v>All seats come from the Riding Model sheet. Poll-specific scenarios are nowcasts; longer-horizon scenarios are illustrations without probabilities.</x:v>
      </x:c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  <x:c r="K3" s="162"/>
    </x:row>
    <x:row r="4" ht="30" customHeight="1">
      <x:c r="A4" s="39" t="str">
        <x:v>Scenario</x:v>
      </x:c>
      <x:c r="B4" s="40" t="str">
        <x:v>Liberal</x:v>
      </x:c>
      <x:c r="C4" s="40" t="str">
        <x:v>PC</x:v>
      </x:c>
      <x:c r="D4" s="40" t="str">
        <x:v>Green</x:v>
      </x:c>
      <x:c r="E4" s="40" t="str">
        <x:v>L-PC lead</x:v>
      </x:c>
      <x:c r="F4" s="40" t="str">
        <x:v>Kind</x:v>
      </x:c>
      <x:c r="G4" s="40" t="str">
        <x:v>L seats</x:v>
      </x:c>
      <x:c r="H4" s="40" t="str">
        <x:v>PC seats</x:v>
      </x:c>
      <x:c r="I4" s="40" t="str">
        <x:v>Green seats</x:v>
      </x:c>
      <x:c r="J4" s="40" t="str">
        <x:v>L majority</x:v>
      </x:c>
      <x:c r="K4" s="41" t="str">
        <x:v>Caution</x:v>
      </x:c>
    </x:row>
    <x:row r="5">
      <x:c r="A5" s="17" t="str">
        <x:v>Porter O'Brien</x:v>
      </x:c>
      <x:c r="B5" s="51" t="n">
        <x:v>43</x:v>
      </x:c>
      <x:c r="C5" s="51" t="n">
        <x:v>39</x:v>
      </x:c>
      <x:c r="D5" s="51" t="n">
        <x:v>13</x:v>
      </x:c>
      <x:c r="E5" s="51" t="n">
        <x:f>B5-C5</x:f>
        <x:v>4</x:v>
      </x:c>
      <x:c r="F5" s="17" t="str">
        <x:v>poll-specific nowcast</x:v>
      </x:c>
      <x:c r="G5" s="114" t="n">
        <x:f>COUNTIF('Riding Model'!$H$5:$H$53,"Liberal")</x:f>
        <x:v>26</x:v>
      </x:c>
      <x:c r="H5" s="114" t="n">
        <x:f>COUNTIF('Riding Model'!$H$5:$H$53,"PC")</x:f>
        <x:v>21</x:v>
      </x:c>
      <x:c r="I5" s="114" t="n">
        <x:f>COUNTIF('Riding Model'!$H$5:$H$53,"Green")</x:f>
        <x:v>2</x:v>
      </x:c>
      <x:c r="J5" s="17" t="str">
        <x:f>IF(G5&gt;='Read Me'!$B$9,"YES","NO")</x:f>
        <x:v>YES</x:v>
      </x:c>
      <x:c r="K5" s="17" t="str">
        <x:v>Uniform-swing stress test</x:v>
      </x:c>
    </x:row>
    <x:row r="6">
      <x:c r="A6" s="18" t="str">
        <x:v>Narrative derived</x:v>
      </x:c>
      <x:c r="B6" s="52" t="n">
        <x:v>40.57971014492754</x:v>
      </x:c>
      <x:c r="C6" s="52" t="n">
        <x:v>30.434782608695656</x:v>
      </x:c>
      <x:c r="D6" s="52" t="n">
        <x:v>13.043478260869565</x:v>
      </x:c>
      <x:c r="E6" s="52" t="n">
        <x:f>B6-C6</x:f>
        <x:v>10.144927536231883</x:v>
      </x:c>
      <x:c r="F6" s="18" t="str">
        <x:v>poll-specific nowcast</x:v>
      </x:c>
      <x:c r="G6" s="115" t="n">
        <x:f>COUNTIF('Riding Model'!$L$5:$L$53,"Liberal")</x:f>
        <x:v>30</x:v>
      </x:c>
      <x:c r="H6" s="115" t="n">
        <x:f>COUNTIF('Riding Model'!$L$5:$L$53,"PC")</x:f>
        <x:v>17</x:v>
      </x:c>
      <x:c r="I6" s="115" t="n">
        <x:f>COUNTIF('Riding Model'!$L$5:$L$53,"Green")</x:f>
        <x:v>2</x:v>
      </x:c>
      <x:c r="J6" s="18" t="str">
        <x:f>IF(G6&gt;='Read Me'!$B$9,"YES","NO")</x:f>
        <x:v>YES</x:v>
      </x:c>
      <x:c r="K6" s="18" t="str">
        <x:v>Uniform-swing stress test</x:v>
      </x:c>
    </x:row>
    <x:row r="7">
      <x:c r="A7" s="18" t="str">
        <x:v>Abacus</x:v>
      </x:c>
      <x:c r="B7" s="52" t="n">
        <x:v>45</x:v>
      </x:c>
      <x:c r="C7" s="52" t="n">
        <x:v>31</x:v>
      </x:c>
      <x:c r="D7" s="52" t="n">
        <x:v>14</x:v>
      </x:c>
      <x:c r="E7" s="52" t="n">
        <x:f>B7-C7</x:f>
        <x:v>14</x:v>
      </x:c>
      <x:c r="F7" s="18" t="str">
        <x:v>poll-specific nowcast</x:v>
      </x:c>
      <x:c r="G7" s="115" t="n">
        <x:f>COUNTIF('Riding Model'!$P$5:$P$53,"Liberal")</x:f>
        <x:v>32</x:v>
      </x:c>
      <x:c r="H7" s="115" t="n">
        <x:f>COUNTIF('Riding Model'!$P$5:$P$53,"PC")</x:f>
        <x:v>15</x:v>
      </x:c>
      <x:c r="I7" s="115" t="n">
        <x:f>COUNTIF('Riding Model'!$P$5:$P$53,"Green")</x:f>
        <x:v>2</x:v>
      </x:c>
      <x:c r="J7" s="18" t="str">
        <x:f>IF(G7&gt;='Read Me'!$B$9,"YES","NO")</x:f>
        <x:v>YES</x:v>
      </x:c>
      <x:c r="K7" s="18" t="str">
        <x:v>Uniform-swing stress test</x:v>
      </x:c>
    </x:row>
    <x:row r="8">
      <x:c r="A8" s="18" t="str">
        <x:v>90-day recency ensemble</x:v>
      </x:c>
      <x:c r="B8" s="52" t="n">
        <x:v>43.1541724958968</x:v>
      </x:c>
      <x:c r="C8" s="52" t="n">
        <x:v>32.964969227287966</x:v>
      </x:c>
      <x:c r="D8" s="52" t="n">
        <x:v>13.449355094858092</x:v>
      </x:c>
      <x:c r="E8" s="52" t="n">
        <x:f>B8-C8</x:f>
        <x:v>10.189203268608836</x:v>
      </x:c>
      <x:c r="F8" s="18" t="str">
        <x:v>headline nowcast benchmark</x:v>
      </x:c>
      <x:c r="G8" s="115" t="n">
        <x:f>COUNTIF('Riding Model'!$T$5:$T$53,"Liberal")</x:f>
        <x:v>30</x:v>
      </x:c>
      <x:c r="H8" s="115" t="n">
        <x:f>COUNTIF('Riding Model'!$T$5:$T$53,"PC")</x:f>
        <x:v>17</x:v>
      </x:c>
      <x:c r="I8" s="115" t="n">
        <x:f>COUNTIF('Riding Model'!$T$5:$T$53,"Green")</x:f>
        <x:v>2</x:v>
      </x:c>
      <x:c r="J8" s="18" t="str">
        <x:f>IF(G8&gt;='Read Me'!$B$9,"YES","NO")</x:f>
        <x:v>YES</x:v>
      </x:c>
      <x:c r="K8" s="18" t="str">
        <x:v>Uniform-swing stress test</x:v>
      </x:c>
    </x:row>
    <x:row r="9">
      <x:c r="A9" s="18" t="str">
        <x:v>Mild 5-point erosion</x:v>
      </x:c>
      <x:c r="B9" s="52" t="n">
        <x:v>40.6541724958968</x:v>
      </x:c>
      <x:c r="C9" s="52" t="n">
        <x:v>35.464969227287966</x:v>
      </x:c>
      <x:c r="D9" s="52" t="n">
        <x:v>13.449355094858092</x:v>
      </x:c>
      <x:c r="E9" s="52" t="n">
        <x:f>B9-C9</x:f>
        <x:v>5.189203268608836</x:v>
      </x:c>
      <x:c r="F9" s="18" t="str">
        <x:v>illustrative horizon scenario</x:v>
      </x:c>
      <x:c r="G9" s="115" t="n">
        <x:f>COUNTIF('Riding Model'!$X$5:$X$53,"Liberal")</x:f>
        <x:v>27</x:v>
      </x:c>
      <x:c r="H9" s="115" t="n">
        <x:f>COUNTIF('Riding Model'!$X$5:$X$53,"PC")</x:f>
        <x:v>20</x:v>
      </x:c>
      <x:c r="I9" s="115" t="n">
        <x:f>COUNTIF('Riding Model'!$X$5:$X$53,"Green")</x:f>
        <x:v>2</x:v>
      </x:c>
      <x:c r="J9" s="18" t="str">
        <x:f>IF(G9&gt;='Read Me'!$B$9,"YES","NO")</x:f>
        <x:v>YES</x:v>
      </x:c>
      <x:c r="K9" s="18" t="str">
        <x:v>Not a probability forecast</x:v>
      </x:c>
    </x:row>
    <x:row r="10">
      <x:c r="A10" s="18" t="str">
        <x:v>Full-term analogue median</x:v>
      </x:c>
      <x:c r="B10" s="52" t="n">
        <x:v>33.1141724958968</x:v>
      </x:c>
      <x:c r="C10" s="52" t="n">
        <x:v>43.004969227287965</x:v>
      </x:c>
      <x:c r="D10" s="52" t="n">
        <x:v>13.449355094858092</x:v>
      </x:c>
      <x:c r="E10" s="52" t="n">
        <x:f>B10-C10</x:f>
        <x:v>-9.890796731391163</x:v>
      </x:c>
      <x:c r="F10" s="18" t="str">
        <x:v>illustrative, not forecast</x:v>
      </x:c>
      <x:c r="G10" s="115" t="n">
        <x:f>COUNTIF('Riding Model'!$AB$5:$AB$53,"Liberal")</x:f>
        <x:v>16</x:v>
      </x:c>
      <x:c r="H10" s="115" t="n">
        <x:f>COUNTIF('Riding Model'!$AB$5:$AB$53,"PC")</x:f>
        <x:v>29</x:v>
      </x:c>
      <x:c r="I10" s="115" t="n">
        <x:f>COUNTIF('Riding Model'!$AB$5:$AB$53,"Green")</x:f>
        <x:v>4</x:v>
      </x:c>
      <x:c r="J10" s="18" t="str">
        <x:f>IF(G10&gt;='Read Me'!$B$9,"YES","NO")</x:f>
        <x:v>NO</x:v>
      </x:c>
      <x:c r="K10" s="18" t="str">
        <x:v>Not a probability forecast</x:v>
      </x:c>
    </x:row>
    <x:row r="11">
      <x:c r="A11" s="18" t="str">
        <x:v>Two-point Liberal lead</x:v>
      </x:c>
      <x:c r="B11" s="52" t="n">
        <x:v>39.059570861592384</x:v>
      </x:c>
      <x:c r="C11" s="52" t="n">
        <x:v>37.059570861592384</x:v>
      </x:c>
      <x:c r="D11" s="52" t="n">
        <x:v>13.449355094858092</x:v>
      </x:c>
      <x:c r="E11" s="52" t="n">
        <x:f>B11-C11</x:f>
        <x:v>2</x:v>
      </x:c>
      <x:c r="F11" s="18" t="str">
        <x:v>majority-threshold sensitivity, not forecast</x:v>
      </x:c>
      <x:c r="G11" s="115" t="n">
        <x:f>COUNTIF('Riding Model'!$AF$5:$AF$53,"Liberal")</x:f>
        <x:v>25</x:v>
      </x:c>
      <x:c r="H11" s="115" t="n">
        <x:f>COUNTIF('Riding Model'!$AF$5:$AF$53,"PC")</x:f>
        <x:v>22</x:v>
      </x:c>
      <x:c r="I11" s="115" t="n">
        <x:f>COUNTIF('Riding Model'!$AF$5:$AF$53,"Green")</x:f>
        <x:v>2</x:v>
      </x:c>
      <x:c r="J11" s="18" t="str">
        <x:f>IF(G11&gt;='Read Me'!$B$9,"YES","NO")</x:f>
        <x:v>YES</x:v>
      </x:c>
      <x:c r="K11" s="18" t="str">
        <x:v>Not a probability forecast</x:v>
      </x:c>
    </x:row>
    <x:row r="12">
      <x:c r="A12" s="19" t="str">
        <x:v>Liberal-PC tie</x:v>
      </x:c>
      <x:c r="B12" s="53" t="n">
        <x:v>38.059570861592384</x:v>
      </x:c>
      <x:c r="C12" s="53" t="n">
        <x:v>38.059570861592384</x:v>
      </x:c>
      <x:c r="D12" s="53" t="n">
        <x:v>13.449355094858092</x:v>
      </x:c>
      <x:c r="E12" s="53" t="n">
        <x:f>B12-C12</x:f>
        <x:v>0</x:v>
      </x:c>
      <x:c r="F12" s="19" t="str">
        <x:v>tie sensitivity, not forecast</x:v>
      </x:c>
      <x:c r="G12" s="116" t="n">
        <x:f>COUNTIF('Riding Model'!$AJ$5:$AJ$53,"Liberal")</x:f>
        <x:v>23</x:v>
      </x:c>
      <x:c r="H12" s="116" t="n">
        <x:f>COUNTIF('Riding Model'!$AJ$5:$AJ$53,"PC")</x:f>
        <x:v>23</x:v>
      </x:c>
      <x:c r="I12" s="116" t="n">
        <x:f>COUNTIF('Riding Model'!$AJ$5:$AJ$53,"Green")</x:f>
        <x:v>3</x:v>
      </x:c>
      <x:c r="J12" s="19" t="str">
        <x:f>IF(G12&gt;='Read Me'!$B$9,"YES","NO")</x:f>
        <x:v>NO</x:v>
      </x:c>
      <x:c r="K12" s="19" t="str">
        <x:v>Not a probability forecast</x:v>
      </x:c>
    </x:row>
    <x:row r="13">
      <x:c r="A13" s="162"/>
      <x:c r="B13" s="162"/>
      <x:c r="C13" s="162"/>
      <x:c r="D13" s="162"/>
      <x:c r="E13" s="162"/>
      <x:c r="F13" s="162"/>
      <x:c r="G13" s="162"/>
      <x:c r="H13" s="162"/>
      <x:c r="I13" s="162"/>
      <x:c r="J13" s="162"/>
      <x:c r="K13" s="162"/>
    </x:row>
    <x:row r="14">
      <x:c r="A14" s="162"/>
      <x:c r="B14" s="162"/>
      <x:c r="C14" s="162"/>
      <x:c r="D14" s="162"/>
      <x:c r="E14" s="162"/>
      <x:c r="F14" s="162"/>
      <x:c r="G14" s="162"/>
      <x:c r="H14" s="162"/>
      <x:c r="I14" s="169" t="str">
        <x:v>The three current poll-specific scenarios all produce a Liberal majority. The seat range is not a confidence interval. Candidate effects, regional residuals, turnout and future leadership are not simulated.</x:v>
      </x:c>
      <x:c r="J14" s="170" t="str">
        <x:v>The three current poll-specific scenarios all produce a Liberal majority. The seat range is not a confidence interval. Candidate effects, regional residuals, turnout and future leadership are not simulated.</x:v>
      </x:c>
      <x:c r="K14" s="171" t="str">
        <x:v>The three current poll-specific scenarios all produce a Liberal majority. The seat range is not a confidence interval. Candidate effects, regional residuals, turnout and future leadership are not simulated.</x:v>
      </x:c>
    </x:row>
    <x:row r="15">
      <x:c r="A15" s="162"/>
      <x:c r="B15" s="162"/>
      <x:c r="C15" s="162"/>
      <x:c r="D15" s="162"/>
      <x:c r="E15" s="162"/>
      <x:c r="F15" s="162"/>
      <x:c r="G15" s="162"/>
      <x:c r="H15" s="162"/>
      <x:c r="I15" s="172" t="str">
        <x:v>The three current poll-specific scenarios all produce a Liberal majority. The seat range is not a confidence interval. Candidate effects, regional residuals, turnout and future leadership are not simulated.</x:v>
      </x:c>
      <x:c r="J15" s="173" t="str">
        <x:v>The three current poll-specific scenarios all produce a Liberal majority. The seat range is not a confidence interval. Candidate effects, regional residuals, turnout and future leadership are not simulated.</x:v>
      </x:c>
      <x:c r="K15" s="174" t="str">
        <x:v>The three current poll-specific scenarios all produce a Liberal majority. The seat range is not a confidence interval. Candidate effects, regional residuals, turnout and future leadership are not simulated.</x:v>
      </x:c>
    </x:row>
    <x:row r="16">
      <x:c r="A16" s="162"/>
      <x:c r="B16" s="162"/>
      <x:c r="C16" s="162"/>
      <x:c r="D16" s="162"/>
      <x:c r="E16" s="162"/>
      <x:c r="F16" s="162"/>
      <x:c r="G16" s="162"/>
      <x:c r="H16" s="162"/>
      <x:c r="I16" s="172" t="str">
        <x:v>The three current poll-specific scenarios all produce a Liberal majority. The seat range is not a confidence interval. Candidate effects, regional residuals, turnout and future leadership are not simulated.</x:v>
      </x:c>
      <x:c r="J16" s="173" t="str">
        <x:v>The three current poll-specific scenarios all produce a Liberal majority. The seat range is not a confidence interval. Candidate effects, regional residuals, turnout and future leadership are not simulated.</x:v>
      </x:c>
      <x:c r="K16" s="174" t="str">
        <x:v>The three current poll-specific scenarios all produce a Liberal majority. The seat range is not a confidence interval. Candidate effects, regional residuals, turnout and future leadership are not simulated.</x:v>
      </x:c>
    </x:row>
    <x:row r="17">
      <x:c r="A17" s="162"/>
      <x:c r="B17" s="162"/>
      <x:c r="C17" s="162"/>
      <x:c r="D17" s="162"/>
      <x:c r="E17" s="162"/>
      <x:c r="F17" s="162"/>
      <x:c r="G17" s="162"/>
      <x:c r="H17" s="162"/>
      <x:c r="I17" s="172" t="str">
        <x:v>The three current poll-specific scenarios all produce a Liberal majority. The seat range is not a confidence interval. Candidate effects, regional residuals, turnout and future leadership are not simulated.</x:v>
      </x:c>
      <x:c r="J17" s="173" t="str">
        <x:v>The three current poll-specific scenarios all produce a Liberal majority. The seat range is not a confidence interval. Candidate effects, regional residuals, turnout and future leadership are not simulated.</x:v>
      </x:c>
      <x:c r="K17" s="174" t="str">
        <x:v>The three current poll-specific scenarios all produce a Liberal majority. The seat range is not a confidence interval. Candidate effects, regional residuals, turnout and future leadership are not simulated.</x:v>
      </x:c>
    </x:row>
    <x:row r="18">
      <x:c r="A18" s="162"/>
      <x:c r="B18" s="162"/>
      <x:c r="C18" s="162"/>
      <x:c r="D18" s="162"/>
      <x:c r="E18" s="162"/>
      <x:c r="F18" s="162"/>
      <x:c r="G18" s="162"/>
      <x:c r="H18" s="162"/>
      <x:c r="I18" s="172" t="str">
        <x:v>The three current poll-specific scenarios all produce a Liberal majority. The seat range is not a confidence interval. Candidate effects, regional residuals, turnout and future leadership are not simulated.</x:v>
      </x:c>
      <x:c r="J18" s="173" t="str">
        <x:v>The three current poll-specific scenarios all produce a Liberal majority. The seat range is not a confidence interval. Candidate effects, regional residuals, turnout and future leadership are not simulated.</x:v>
      </x:c>
      <x:c r="K18" s="174" t="str">
        <x:v>The three current poll-specific scenarios all produce a Liberal majority. The seat range is not a confidence interval. Candidate effects, regional residuals, turnout and future leadership are not simulated.</x:v>
      </x:c>
    </x:row>
    <x:row r="19">
      <x:c r="A19" s="162"/>
      <x:c r="B19" s="162"/>
      <x:c r="C19" s="162"/>
      <x:c r="D19" s="162"/>
      <x:c r="E19" s="162"/>
      <x:c r="F19" s="162"/>
      <x:c r="G19" s="162"/>
      <x:c r="H19" s="162"/>
      <x:c r="I19" s="172" t="str">
        <x:v>The three current poll-specific scenarios all produce a Liberal majority. The seat range is not a confidence interval. Candidate effects, regional residuals, turnout and future leadership are not simulated.</x:v>
      </x:c>
      <x:c r="J19" s="173" t="str">
        <x:v>The three current poll-specific scenarios all produce a Liberal majority. The seat range is not a confidence interval. Candidate effects, regional residuals, turnout and future leadership are not simulated.</x:v>
      </x:c>
      <x:c r="K19" s="174" t="str">
        <x:v>The three current poll-specific scenarios all produce a Liberal majority. The seat range is not a confidence interval. Candidate effects, regional residuals, turnout and future leadership are not simulated.</x:v>
      </x:c>
    </x:row>
    <x:row r="20">
      <x:c r="A20" s="162"/>
      <x:c r="B20" s="162"/>
      <x:c r="C20" s="162"/>
      <x:c r="D20" s="162"/>
      <x:c r="E20" s="162"/>
      <x:c r="F20" s="162"/>
      <x:c r="G20" s="162"/>
      <x:c r="H20" s="162"/>
      <x:c r="I20" s="172" t="str">
        <x:v>The three current poll-specific scenarios all produce a Liberal majority. The seat range is not a confidence interval. Candidate effects, regional residuals, turnout and future leadership are not simulated.</x:v>
      </x:c>
      <x:c r="J20" s="173" t="str">
        <x:v>The three current poll-specific scenarios all produce a Liberal majority. The seat range is not a confidence interval. Candidate effects, regional residuals, turnout and future leadership are not simulated.</x:v>
      </x:c>
      <x:c r="K20" s="174" t="str">
        <x:v>The three current poll-specific scenarios all produce a Liberal majority. The seat range is not a confidence interval. Candidate effects, regional residuals, turnout and future leadership are not simulated.</x:v>
      </x:c>
    </x:row>
    <x:row r="21">
      <x:c r="A21" s="162"/>
      <x:c r="B21" s="162"/>
      <x:c r="C21" s="162"/>
      <x:c r="D21" s="162"/>
      <x:c r="E21" s="162"/>
      <x:c r="F21" s="162"/>
      <x:c r="G21" s="162"/>
      <x:c r="H21" s="162"/>
      <x:c r="I21" s="172" t="str">
        <x:v>The three current poll-specific scenarios all produce a Liberal majority. The seat range is not a confidence interval. Candidate effects, regional residuals, turnout and future leadership are not simulated.</x:v>
      </x:c>
      <x:c r="J21" s="173" t="str">
        <x:v>The three current poll-specific scenarios all produce a Liberal majority. The seat range is not a confidence interval. Candidate effects, regional residuals, turnout and future leadership are not simulated.</x:v>
      </x:c>
      <x:c r="K21" s="174" t="str">
        <x:v>The three current poll-specific scenarios all produce a Liberal majority. The seat range is not a confidence interval. Candidate effects, regional residuals, turnout and future leadership are not simulated.</x:v>
      </x:c>
    </x:row>
    <x:row r="22">
      <x:c r="A22" s="162"/>
      <x:c r="B22" s="162"/>
      <x:c r="C22" s="162"/>
      <x:c r="D22" s="162"/>
      <x:c r="E22" s="162"/>
      <x:c r="F22" s="162"/>
      <x:c r="G22" s="162"/>
      <x:c r="H22" s="162"/>
      <x:c r="I22" s="172" t="str">
        <x:v>The three current poll-specific scenarios all produce a Liberal majority. The seat range is not a confidence interval. Candidate effects, regional residuals, turnout and future leadership are not simulated.</x:v>
      </x:c>
      <x:c r="J22" s="173" t="str">
        <x:v>The three current poll-specific scenarios all produce a Liberal majority. The seat range is not a confidence interval. Candidate effects, regional residuals, turnout and future leadership are not simulated.</x:v>
      </x:c>
      <x:c r="K22" s="174" t="str">
        <x:v>The three current poll-specific scenarios all produce a Liberal majority. The seat range is not a confidence interval. Candidate effects, regional residuals, turnout and future leadership are not simulated.</x:v>
      </x:c>
    </x:row>
    <x:row r="23">
      <x:c r="A23" s="162"/>
      <x:c r="B23" s="162"/>
      <x:c r="C23" s="162"/>
      <x:c r="D23" s="162"/>
      <x:c r="E23" s="162"/>
      <x:c r="F23" s="162"/>
      <x:c r="G23" s="162"/>
      <x:c r="H23" s="162"/>
      <x:c r="I23" s="175" t="str">
        <x:v>The three current poll-specific scenarios all produce a Liberal majority. The seat range is not a confidence interval. Candidate effects, regional residuals, turnout and future leadership are not simulated.</x:v>
      </x:c>
      <x:c r="J23" s="176" t="str">
        <x:v>The three current poll-specific scenarios all produce a Liberal majority. The seat range is not a confidence interval. Candidate effects, regional residuals, turnout and future leadership are not simulated.</x:v>
      </x:c>
      <x:c r="K23" s="177" t="str">
        <x:v>The three current poll-specific scenarios all produce a Liberal majority. The seat range is not a confidence interval. Candidate effects, regional residuals, turnout and future leadership are not simulated.</x:v>
      </x:c>
    </x:row>
  </x:sheetData>
  <x:mergeCells>
    <x:mergeCell ref="A1:K1"/>
    <x:mergeCell ref="A2:K2"/>
    <x:mergeCell ref="I14:K23"/>
  </x:mergeCells>
  <x:conditionalFormatting sqref="J5:J12">
    <x:cfRule type="cellIs" dxfId="2" priority="1" operator="equal">
      <x:formula>"YES"</x:formula>
    </x:cfRule>
  </x:conditionalFormatting>
  <x:pageMargins left="0.7" right="0.7" top="0.75" bottom="0.75" header="0.3" footer="0.3"/>
  <x:drawing xmlns:r="http://schemas.openxmlformats.org/officeDocument/2006/relationships" r:id="R458e4d69aa7f4680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2" hidden="0" customWidth="1"/>
    <x:col min="22" max="22" width="12" hidden="0" customWidth="1"/>
    <x:col min="23" max="23" width="12" hidden="0" customWidth="1"/>
    <x:col min="24" max="24" width="14" hidden="0" customWidth="1"/>
    <x:col min="25" max="25" width="12" hidden="0" customWidth="1"/>
    <x:col min="26" max="26" width="12" hidden="0" customWidth="1"/>
    <x:col min="27" max="27" width="12" hidden="0" customWidth="1"/>
    <x:col min="28" max="28" width="14" hidden="0" customWidth="1"/>
    <x:col min="29" max="29" width="12" hidden="0" customWidth="1"/>
    <x:col min="30" max="30" width="12" hidden="0" customWidth="1"/>
    <x:col min="31" max="31" width="12" hidden="0" customWidth="1"/>
    <x:col min="32" max="32" width="14" hidden="0" customWidth="1"/>
    <x:col min="33" max="33" width="12" hidden="0" customWidth="1"/>
    <x:col min="34" max="34" width="12" hidden="0" customWidth="1"/>
    <x:col min="35" max="35" width="12" hidden="0" customWidth="1"/>
    <x:col min="36" max="36" width="14" hidden="0" customWidth="1"/>
  </x:cols>
  <x:sheetData>
    <x:row r="1" ht="30" customHeight="1">
      <x:c r="A1" s="4" t="str">
        <x:v>2024 riding baseline and deterministic uniform-swing calculations</x:v>
      </x:c>
      <x:c r="B1" s="4" t="str">
        <x:v>2024 riding baseline and deterministic uniform-swing calculations</x:v>
      </x:c>
      <x:c r="C1" s="4" t="str">
        <x:v>2024 riding baseline and deterministic uniform-swing calculations</x:v>
      </x:c>
      <x:c r="D1" s="4" t="str">
        <x:v>2024 riding baseline and deterministic uniform-swing calculations</x:v>
      </x:c>
      <x:c r="E1" s="4" t="str">
        <x:v>2024 riding baseline and deterministic uniform-swing calculations</x:v>
      </x:c>
      <x:c r="F1" s="4" t="str">
        <x:v>2024 riding baseline and deterministic uniform-swing calculations</x:v>
      </x:c>
      <x:c r="G1" s="4" t="str">
        <x:v>2024 riding baseline and deterministic uniform-swing calculations</x:v>
      </x:c>
      <x:c r="H1" s="4" t="str">
        <x:v>2024 riding baseline and deterministic uniform-swing calculations</x:v>
      </x:c>
      <x:c r="I1" s="4" t="str">
        <x:v>2024 riding baseline and deterministic uniform-swing calculations</x:v>
      </x:c>
      <x:c r="J1" s="4" t="str">
        <x:v>2024 riding baseline and deterministic uniform-swing calculations</x:v>
      </x:c>
      <x:c r="K1" s="4" t="str">
        <x:v>2024 riding baseline and deterministic uniform-swing calculations</x:v>
      </x:c>
      <x:c r="L1" s="4" t="str">
        <x:v>2024 riding baseline and deterministic uniform-swing calculations</x:v>
      </x:c>
      <x:c r="M1" s="4" t="str">
        <x:v>2024 riding baseline and deterministic uniform-swing calculations</x:v>
      </x:c>
      <x:c r="N1" s="4" t="str">
        <x:v>2024 riding baseline and deterministic uniform-swing calculations</x:v>
      </x:c>
      <x:c r="O1" s="4" t="str">
        <x:v>2024 riding baseline and deterministic uniform-swing calculations</x:v>
      </x:c>
      <x:c r="P1" s="4" t="str">
        <x:v>2024 riding baseline and deterministic uniform-swing calculations</x:v>
      </x:c>
      <x:c r="Q1" s="4" t="str">
        <x:v>2024 riding baseline and deterministic uniform-swing calculations</x:v>
      </x:c>
      <x:c r="R1" s="4" t="str">
        <x:v>2024 riding baseline and deterministic uniform-swing calculations</x:v>
      </x:c>
      <x:c r="S1" s="4" t="str">
        <x:v>2024 riding baseline and deterministic uniform-swing calculations</x:v>
      </x:c>
      <x:c r="T1" s="4" t="str">
        <x:v>2024 riding baseline and deterministic uniform-swing calculations</x:v>
      </x:c>
      <x:c r="U1" s="4" t="str">
        <x:v>2024 riding baseline and deterministic uniform-swing calculations</x:v>
      </x:c>
      <x:c r="V1" s="4" t="str">
        <x:v>2024 riding baseline and deterministic uniform-swing calculations</x:v>
      </x:c>
      <x:c r="W1" s="4" t="str">
        <x:v>2024 riding baseline and deterministic uniform-swing calculations</x:v>
      </x:c>
      <x:c r="X1" s="4" t="str">
        <x:v>2024 riding baseline and deterministic uniform-swing calculations</x:v>
      </x:c>
      <x:c r="Y1" s="4" t="str">
        <x:v>2024 riding baseline and deterministic uniform-swing calculations</x:v>
      </x:c>
      <x:c r="Z1" s="4" t="str">
        <x:v>2024 riding baseline and deterministic uniform-swing calculations</x:v>
      </x:c>
      <x:c r="AA1" s="4" t="str">
        <x:v>2024 riding baseline and deterministic uniform-swing calculations</x:v>
      </x:c>
      <x:c r="AB1" s="4" t="str">
        <x:v>2024 riding baseline and deterministic uniform-swing calculations</x:v>
      </x:c>
      <x:c r="AC1" s="4" t="str">
        <x:v>2024 riding baseline and deterministic uniform-swing calculations</x:v>
      </x:c>
      <x:c r="AD1" s="4" t="str">
        <x:v>2024 riding baseline and deterministic uniform-swing calculations</x:v>
      </x:c>
      <x:c r="AE1" s="4" t="str">
        <x:v>2024 riding baseline and deterministic uniform-swing calculations</x:v>
      </x:c>
      <x:c r="AF1" s="4" t="str">
        <x:v>2024 riding baseline and deterministic uniform-swing calculations</x:v>
      </x:c>
      <x:c r="AG1" s="4" t="str">
        <x:v>2024 riding baseline and deterministic uniform-swing calculations</x:v>
      </x:c>
      <x:c r="AH1" s="4" t="str">
        <x:v>2024 riding baseline and deterministic uniform-swing calculations</x:v>
      </x:c>
      <x:c r="AI1" s="4" t="str">
        <x:v>2024 riding baseline and deterministic uniform-swing calculations</x:v>
      </x:c>
      <x:c r="AJ1" s="4" t="str">
        <x:v>2024 riding baseline and deterministic uniform-swing calculations</x:v>
      </x:c>
    </x:row>
    <x:row r="2" ht="25" customHeight="1">
      <x:c r="A2" s="161" t="str">
        <x:v>Projected indexes are vote multipliers, not predicted vote counts. This sheet is the auditable engine for the scenario seat totals.</x:v>
      </x:c>
      <x:c r="B2" s="161" t="str">
        <x:v>Projected indexes are vote multipliers, not predicted vote counts. This sheet is the auditable engine for the scenario seat totals.</x:v>
      </x:c>
      <x:c r="C2" s="161" t="str">
        <x:v>Projected indexes are vote multipliers, not predicted vote counts. This sheet is the auditable engine for the scenario seat totals.</x:v>
      </x:c>
      <x:c r="D2" s="161" t="str">
        <x:v>Projected indexes are vote multipliers, not predicted vote counts. This sheet is the auditable engine for the scenario seat totals.</x:v>
      </x:c>
      <x:c r="E2" s="161" t="str">
        <x:v>Projected indexes are vote multipliers, not predicted vote counts. This sheet is the auditable engine for the scenario seat totals.</x:v>
      </x:c>
      <x:c r="F2" s="161" t="str">
        <x:v>Projected indexes are vote multipliers, not predicted vote counts. This sheet is the auditable engine for the scenario seat totals.</x:v>
      </x:c>
      <x:c r="G2" s="161" t="str">
        <x:v>Projected indexes are vote multipliers, not predicted vote counts. This sheet is the auditable engine for the scenario seat totals.</x:v>
      </x:c>
      <x:c r="H2" s="161" t="str">
        <x:v>Projected indexes are vote multipliers, not predicted vote counts. This sheet is the auditable engine for the scenario seat totals.</x:v>
      </x:c>
      <x:c r="I2" s="161" t="str">
        <x:v>Projected indexes are vote multipliers, not predicted vote counts. This sheet is the auditable engine for the scenario seat totals.</x:v>
      </x:c>
      <x:c r="J2" s="161" t="str">
        <x:v>Projected indexes are vote multipliers, not predicted vote counts. This sheet is the auditable engine for the scenario seat totals.</x:v>
      </x:c>
      <x:c r="K2" s="161" t="str">
        <x:v>Projected indexes are vote multipliers, not predicted vote counts. This sheet is the auditable engine for the scenario seat totals.</x:v>
      </x:c>
      <x:c r="L2" s="161" t="str">
        <x:v>Projected indexes are vote multipliers, not predicted vote counts. This sheet is the auditable engine for the scenario seat totals.</x:v>
      </x:c>
      <x:c r="M2" s="161" t="str">
        <x:v>Projected indexes are vote multipliers, not predicted vote counts. This sheet is the auditable engine for the scenario seat totals.</x:v>
      </x:c>
      <x:c r="N2" s="161" t="str">
        <x:v>Projected indexes are vote multipliers, not predicted vote counts. This sheet is the auditable engine for the scenario seat totals.</x:v>
      </x:c>
      <x:c r="O2" s="161" t="str">
        <x:v>Projected indexes are vote multipliers, not predicted vote counts. This sheet is the auditable engine for the scenario seat totals.</x:v>
      </x:c>
      <x:c r="P2" s="161" t="str">
        <x:v>Projected indexes are vote multipliers, not predicted vote counts. This sheet is the auditable engine for the scenario seat totals.</x:v>
      </x:c>
      <x:c r="Q2" s="161" t="str">
        <x:v>Projected indexes are vote multipliers, not predicted vote counts. This sheet is the auditable engine for the scenario seat totals.</x:v>
      </x:c>
      <x:c r="R2" s="161" t="str">
        <x:v>Projected indexes are vote multipliers, not predicted vote counts. This sheet is the auditable engine for the scenario seat totals.</x:v>
      </x:c>
      <x:c r="S2" s="161" t="str">
        <x:v>Projected indexes are vote multipliers, not predicted vote counts. This sheet is the auditable engine for the scenario seat totals.</x:v>
      </x:c>
      <x:c r="T2" s="161" t="str">
        <x:v>Projected indexes are vote multipliers, not predicted vote counts. This sheet is the auditable engine for the scenario seat totals.</x:v>
      </x:c>
      <x:c r="U2" s="161" t="str">
        <x:v>Projected indexes are vote multipliers, not predicted vote counts. This sheet is the auditable engine for the scenario seat totals.</x:v>
      </x:c>
      <x:c r="V2" s="161" t="str">
        <x:v>Projected indexes are vote multipliers, not predicted vote counts. This sheet is the auditable engine for the scenario seat totals.</x:v>
      </x:c>
      <x:c r="W2" s="161" t="str">
        <x:v>Projected indexes are vote multipliers, not predicted vote counts. This sheet is the auditable engine for the scenario seat totals.</x:v>
      </x:c>
      <x:c r="X2" s="161" t="str">
        <x:v>Projected indexes are vote multipliers, not predicted vote counts. This sheet is the auditable engine for the scenario seat totals.</x:v>
      </x:c>
      <x:c r="Y2" s="161" t="str">
        <x:v>Projected indexes are vote multipliers, not predicted vote counts. This sheet is the auditable engine for the scenario seat totals.</x:v>
      </x:c>
      <x:c r="Z2" s="161" t="str">
        <x:v>Projected indexes are vote multipliers, not predicted vote counts. This sheet is the auditable engine for the scenario seat totals.</x:v>
      </x:c>
      <x:c r="AA2" s="161" t="str">
        <x:v>Projected indexes are vote multipliers, not predicted vote counts. This sheet is the auditable engine for the scenario seat totals.</x:v>
      </x:c>
      <x:c r="AB2" s="161" t="str">
        <x:v>Projected indexes are vote multipliers, not predicted vote counts. This sheet is the auditable engine for the scenario seat totals.</x:v>
      </x:c>
      <x:c r="AC2" s="161" t="str">
        <x:v>Projected indexes are vote multipliers, not predicted vote counts. This sheet is the auditable engine for the scenario seat totals.</x:v>
      </x:c>
      <x:c r="AD2" s="161" t="str">
        <x:v>Projected indexes are vote multipliers, not predicted vote counts. This sheet is the auditable engine for the scenario seat totals.</x:v>
      </x:c>
      <x:c r="AE2" s="161" t="str">
        <x:v>Projected indexes are vote multipliers, not predicted vote counts. This sheet is the auditable engine for the scenario seat totals.</x:v>
      </x:c>
      <x:c r="AF2" s="161" t="str">
        <x:v>Projected indexes are vote multipliers, not predicted vote counts. This sheet is the auditable engine for the scenario seat totals.</x:v>
      </x:c>
      <x:c r="AG2" s="161" t="str">
        <x:v>Projected indexes are vote multipliers, not predicted vote counts. This sheet is the auditable engine for the scenario seat totals.</x:v>
      </x:c>
      <x:c r="AH2" s="161" t="str">
        <x:v>Projected indexes are vote multipliers, not predicted vote counts. This sheet is the auditable engine for the scenario seat totals.</x:v>
      </x:c>
      <x:c r="AI2" s="161" t="str">
        <x:v>Projected indexes are vote multipliers, not predicted vote counts. This sheet is the auditable engine for the scenario seat totals.</x:v>
      </x:c>
      <x:c r="AJ2" s="161" t="str">
        <x:v>Projected indexes are vote multipliers, not predicted vote counts. This sheet is the auditable engine for the scenario seat totals.</x:v>
      </x:c>
    </x:row>
    <x:row r="3">
      <x:c r="A3" s="162"/>
      <x:c r="B3" s="162"/>
      <x:c r="C3" s="162"/>
      <x:c r="D3" s="162"/>
      <x:c r="E3" s="163" t="str">
        <x:v>Porter O'Brien</x:v>
      </x:c>
      <x:c r="F3" s="164"/>
      <x:c r="G3" s="164"/>
      <x:c r="H3" s="165"/>
      <x:c r="I3" s="163" t="str">
        <x:v>Narrative derived</x:v>
      </x:c>
      <x:c r="J3" s="164"/>
      <x:c r="K3" s="164"/>
      <x:c r="L3" s="165"/>
      <x:c r="M3" s="163" t="str">
        <x:v>Abacus</x:v>
      </x:c>
      <x:c r="N3" s="164"/>
      <x:c r="O3" s="164"/>
      <x:c r="P3" s="165"/>
      <x:c r="Q3" s="163" t="str">
        <x:v>90-day recency ensemble</x:v>
      </x:c>
      <x:c r="R3" s="164"/>
      <x:c r="S3" s="164"/>
      <x:c r="T3" s="165"/>
      <x:c r="U3" s="163" t="str">
        <x:v>Mild 5-point erosion</x:v>
      </x:c>
      <x:c r="V3" s="164"/>
      <x:c r="W3" s="164"/>
      <x:c r="X3" s="165"/>
      <x:c r="Y3" s="163" t="str">
        <x:v>Full-term analogue median</x:v>
      </x:c>
      <x:c r="Z3" s="164"/>
      <x:c r="AA3" s="164"/>
      <x:c r="AB3" s="165"/>
      <x:c r="AC3" s="163" t="str">
        <x:v>Two-point Liberal lead</x:v>
      </x:c>
      <x:c r="AD3" s="164"/>
      <x:c r="AE3" s="164"/>
      <x:c r="AF3" s="165"/>
      <x:c r="AG3" s="163" t="str">
        <x:v>Liberal-PC tie</x:v>
      </x:c>
      <x:c r="AH3" s="164"/>
      <x:c r="AI3" s="164"/>
      <x:c r="AJ3" s="165"/>
    </x:row>
    <x:row r="4" ht="30" customHeight="1">
      <x:c r="A4" s="39" t="str">
        <x:v>Riding</x:v>
      </x:c>
      <x:c r="B4" s="40" t="str">
        <x:v>L 2024</x:v>
      </x:c>
      <x:c r="C4" s="40" t="str">
        <x:v>PC 2024</x:v>
      </x:c>
      <x:c r="D4" s="41" t="str">
        <x:v>Green 2024</x:v>
      </x:c>
      <x:c r="E4" s="39" t="str">
        <x:v>L index</x:v>
      </x:c>
      <x:c r="F4" s="40" t="str">
        <x:v>PC index</x:v>
      </x:c>
      <x:c r="G4" s="40" t="str">
        <x:v>Green index</x:v>
      </x:c>
      <x:c r="H4" s="41" t="str">
        <x:v>Winner</x:v>
      </x:c>
      <x:c r="I4" s="39" t="str">
        <x:v>L index</x:v>
      </x:c>
      <x:c r="J4" s="40" t="str">
        <x:v>PC index</x:v>
      </x:c>
      <x:c r="K4" s="40" t="str">
        <x:v>Green index</x:v>
      </x:c>
      <x:c r="L4" s="41" t="str">
        <x:v>Winner</x:v>
      </x:c>
      <x:c r="M4" s="39" t="str">
        <x:v>L index</x:v>
      </x:c>
      <x:c r="N4" s="40" t="str">
        <x:v>PC index</x:v>
      </x:c>
      <x:c r="O4" s="40" t="str">
        <x:v>Green index</x:v>
      </x:c>
      <x:c r="P4" s="41" t="str">
        <x:v>Winner</x:v>
      </x:c>
      <x:c r="Q4" s="39" t="str">
        <x:v>L index</x:v>
      </x:c>
      <x:c r="R4" s="40" t="str">
        <x:v>PC index</x:v>
      </x:c>
      <x:c r="S4" s="40" t="str">
        <x:v>Green index</x:v>
      </x:c>
      <x:c r="T4" s="41" t="str">
        <x:v>Winner</x:v>
      </x:c>
      <x:c r="U4" s="39" t="str">
        <x:v>L index</x:v>
      </x:c>
      <x:c r="V4" s="40" t="str">
        <x:v>PC index</x:v>
      </x:c>
      <x:c r="W4" s="40" t="str">
        <x:v>Green index</x:v>
      </x:c>
      <x:c r="X4" s="41" t="str">
        <x:v>Winner</x:v>
      </x:c>
      <x:c r="Y4" s="39" t="str">
        <x:v>L index</x:v>
      </x:c>
      <x:c r="Z4" s="40" t="str">
        <x:v>PC index</x:v>
      </x:c>
      <x:c r="AA4" s="40" t="str">
        <x:v>Green index</x:v>
      </x:c>
      <x:c r="AB4" s="41" t="str">
        <x:v>Winner</x:v>
      </x:c>
      <x:c r="AC4" s="39" t="str">
        <x:v>L index</x:v>
      </x:c>
      <x:c r="AD4" s="40" t="str">
        <x:v>PC index</x:v>
      </x:c>
      <x:c r="AE4" s="40" t="str">
        <x:v>Green index</x:v>
      </x:c>
      <x:c r="AF4" s="41" t="str">
        <x:v>Winner</x:v>
      </x:c>
      <x:c r="AG4" s="39" t="str">
        <x:v>L index</x:v>
      </x:c>
      <x:c r="AH4" s="40" t="str">
        <x:v>PC index</x:v>
      </x:c>
      <x:c r="AI4" s="40" t="str">
        <x:v>Green index</x:v>
      </x:c>
      <x:c r="AJ4" s="41" t="str">
        <x:v>Winner</x:v>
      </x:c>
    </x:row>
    <x:row r="5">
      <x:c r="A5" s="17" t="str">
        <x:v>Albert-Riverview</x:v>
      </x:c>
      <x:c r="B5" s="17" t="n">
        <x:v>2599</x:v>
      </x:c>
      <x:c r="C5" s="17" t="n">
        <x:v>4363</x:v>
      </x:c>
      <x:c r="D5" s="17" t="n">
        <x:v>972</x:v>
      </x:c>
      <x:c r="E5" s="51" t="n">
        <x:f>B5*(('Nowcast Scenarios'!$B$5/SUM('Nowcast Scenarios'!$B$5:$D$5))/$B$57)</x:f>
        <x:v>2366.338207919276</x:v>
      </x:c>
      <x:c r="F5" s="51" t="n">
        <x:f>C5*(('Nowcast Scenarios'!$C$5/SUM('Nowcast Scenarios'!$B$5:$D$5))/$C$57)</x:f>
        <x:v>4960.142817800447</x:v>
      </x:c>
      <x:c r="G5" s="51" t="n">
        <x:f>D5*(('Nowcast Scenarios'!$D$5/SUM('Nowcast Scenarios'!$B$5:$D$5))/$D$57)</x:f>
        <x:v>938.2713910343181</x:v>
      </x:c>
      <x:c r="H5" s="17" t="str">
        <x:f>IF(MAX(E5:G5)=E5,"Liberal",IF(MAX(E5:G5)=F5,"PC","Green"))</x:f>
        <x:v>PC</x:v>
      </x:c>
      <x:c r="I5" s="51" t="n">
        <x:f>B5*(('Nowcast Scenarios'!$B$6/SUM('Nowcast Scenarios'!$B$6:$D$6))/$B$57)</x:f>
        <x:v>2523.841071798426</x:v>
      </x:c>
      <x:c r="J5" s="51" t="n">
        <x:f>C5*(('Nowcast Scenarios'!$C$6/SUM('Nowcast Scenarios'!$B$6:$D$6))/$C$57)</x:f>
        <x:v>4374.661769014984</x:v>
      </x:c>
      <x:c r="K5" s="51" t="n">
        <x:f>D5*(('Nowcast Scenarios'!$D$6/SUM('Nowcast Scenarios'!$B$6:$D$6))/$D$57)</x:f>
        <x:v>1063.954959329366</x:v>
      </x:c>
      <x:c r="L5" s="17" t="str">
        <x:f>IF(MAX(I5:K5)=I5,"Liberal",IF(MAX(I5:K5)=J5,"PC","Green"))</x:f>
        <x:v>PC</x:v>
      </x:c>
      <x:c r="M5" s="51" t="n">
        <x:f>B5*(('Nowcast Scenarios'!$B$7/SUM('Nowcast Scenarios'!$B$7:$D$7))/$B$57)</x:f>
        <x:v>2613.978252934084</x:v>
      </x:c>
      <x:c r="N5" s="51" t="n">
        <x:f>C5*(('Nowcast Scenarios'!$C$7/SUM('Nowcast Scenarios'!$B$7:$D$7))/$C$57)</x:f>
        <x:v>4161.715270205788</x:v>
      </x:c>
      <x:c r="O5" s="51" t="n">
        <x:f>D5*(('Nowcast Scenarios'!$D$7/SUM('Nowcast Scenarios'!$B$7:$D$7))/$D$57)</x:f>
        <x:v>1066.5820086116605</x:v>
      </x:c>
      <x:c r="P5" s="17" t="str">
        <x:f>IF(MAX(M5:O5)=M5,"Liberal",IF(MAX(M5:O5)=N5,"PC","Green"))</x:f>
        <x:v>PC</x:v>
      </x:c>
      <x:c r="Q5" s="51" t="n">
        <x:f>B5*(('Nowcast Scenarios'!$B$8/SUM('Nowcast Scenarios'!$B$8:$D$8))/$B$57)</x:f>
        <x:v>2518.8335728531943</x:v>
      </x:c>
      <x:c r="R5" s="51" t="n">
        <x:f>C5*(('Nowcast Scenarios'!$C$8/SUM('Nowcast Scenarios'!$B$8:$D$8))/$C$57)</x:f>
        <x:v>4446.8304262333295</x:v>
      </x:c>
      <x:c r="S5" s="51" t="n">
        <x:f>D5*(('Nowcast Scenarios'!$D$8/SUM('Nowcast Scenarios'!$B$8:$D$8))/$D$57)</x:f>
        <x:v>1029.5676822838966</x:v>
      </x:c>
      <x:c r="T5" s="17" t="str">
        <x:f>IF(MAX(Q5:S5)=Q5,"Liberal",IF(MAX(Q5:S5)=R5,"PC","Green"))</x:f>
        <x:v>PC</x:v>
      </x:c>
      <x:c r="U5" s="51" t="n">
        <x:f>B5*(('Nowcast Scenarios'!$B$9/SUM('Nowcast Scenarios'!$B$9:$D$9))/$B$57)</x:f>
        <x:v>2372.9129453001638</x:v>
      </x:c>
      <x:c r="V5" s="51" t="n">
        <x:f>C5*(('Nowcast Scenarios'!$C$9/SUM('Nowcast Scenarios'!$B$9:$D$9))/$C$57)</x:f>
        <x:v>4784.069511425036</x:v>
      </x:c>
      <x:c r="W5" s="51" t="n">
        <x:f>D5*(('Nowcast Scenarios'!$D$9/SUM('Nowcast Scenarios'!$B$9:$D$9))/$D$57)</x:f>
        <x:v>1029.5676822838966</x:v>
      </x:c>
      <x:c r="X5" s="17" t="str">
        <x:f>IF(MAX(U5:W5)=U5,"Liberal",IF(MAX(U5:W5)=V5,"PC","Green"))</x:f>
        <x:v>PC</x:v>
      </x:c>
      <x:c r="Y5" s="51" t="n">
        <x:f>B5*(('Nowcast Scenarios'!$B$10/SUM('Nowcast Scenarios'!$B$10:$D$10))/$B$57)</x:f>
        <x:v>1932.8163326002239</x:v>
      </x:c>
      <x:c r="Z5" s="51" t="n">
        <x:f>C5*(('Nowcast Scenarios'!$C$10/SUM('Nowcast Scenarios'!$B$10:$D$10))/$C$57)</x:f>
        <x:v>5801.18259236322</x:v>
      </x:c>
      <x:c r="AA5" s="51" t="n">
        <x:f>D5*(('Nowcast Scenarios'!$D$10/SUM('Nowcast Scenarios'!$B$10:$D$10))/$D$57)</x:f>
        <x:v>1029.5676822838966</x:v>
      </x:c>
      <x:c r="AB5" s="17" t="str">
        <x:f>IF(MAX(Y5:AA5)=Y5,"Liberal",IF(MAX(Y5:AA5)=Z5,"PC","Green"))</x:f>
        <x:v>PC</x:v>
      </x:c>
      <x:c r="AC5" s="51" t="n">
        <x:f>B5*(('Nowcast Scenarios'!$B$11/SUM('Nowcast Scenarios'!$B$11:$D$11))/$B$57)</x:f>
        <x:v>2279.838836830248</x:v>
      </x:c>
      <x:c r="AD5" s="51" t="n">
        <x:f>C5*(('Nowcast Scenarios'!$C$11/SUM('Nowcast Scenarios'!$B$11:$D$11))/$C$57)</x:f>
        <x:v>4999.174309984244</x:v>
      </x:c>
      <x:c r="AE5" s="51" t="n">
        <x:f>D5*(('Nowcast Scenarios'!$D$11/SUM('Nowcast Scenarios'!$B$11:$D$11))/$D$57)</x:f>
        <x:v>1029.5676822838966</x:v>
      </x:c>
      <x:c r="AF5" s="17" t="str">
        <x:f>IF(MAX(AC5:AE5)=AC5,"Liberal",IF(MAX(AC5:AE5)=AD5,"PC","Green"))</x:f>
        <x:v>PC</x:v>
      </x:c>
      <x:c r="AG5" s="51" t="n">
        <x:f>B5*(('Nowcast Scenarios'!$B$12/SUM('Nowcast Scenarios'!$B$12:$D$12))/$B$57)</x:f>
        <x:v>2221.470585809036</x:v>
      </x:c>
      <x:c r="AH5" s="51" t="n">
        <x:f>C5*(('Nowcast Scenarios'!$C$12/SUM('Nowcast Scenarios'!$B$12:$D$12))/$C$57)</x:f>
        <x:v>5134.069944060927</x:v>
      </x:c>
      <x:c r="AI5" s="51" t="n">
        <x:f>D5*(('Nowcast Scenarios'!$D$12/SUM('Nowcast Scenarios'!$B$12:$D$12))/$D$57)</x:f>
        <x:v>1029.5676822838966</x:v>
      </x:c>
      <x:c r="AJ5" s="17" t="str">
        <x:f>IF(MAX(AG5:AI5)=AG5,"Liberal",IF(MAX(AG5:AI5)=AH5,"PC","Green"))</x:f>
        <x:v>PC</x:v>
      </x:c>
    </x:row>
    <x:row r="6">
      <x:c r="A6" s="18" t="str">
        <x:v>Arcadia-Butternut Valley-Maple Hills</x:v>
      </x:c>
      <x:c r="B6" s="18" t="n">
        <x:v>2289</x:v>
      </x:c>
      <x:c r="C6" s="18" t="n">
        <x:v>4284</x:v>
      </x:c>
      <x:c r="D6" s="18" t="n">
        <x:v>1093</x:v>
      </x:c>
      <x:c r="E6" s="52" t="n">
        <x:f>B6*(('Nowcast Scenarios'!$B$5/SUM('Nowcast Scenarios'!$B$5:$D$5))/$B$57)</x:f>
        <x:v>2084.089325866573</x:v>
      </x:c>
      <x:c r="F6" s="52" t="n">
        <x:f>C6*(('Nowcast Scenarios'!$C$5/SUM('Nowcast Scenarios'!$B$5:$D$5))/$C$57)</x:f>
        <x:v>4870.3304679021585</x:v>
      </x:c>
      <x:c r="G6" s="52" t="n">
        <x:f>D6*(('Nowcast Scenarios'!$D$5/SUM('Nowcast Scenarios'!$B$5:$D$5))/$D$57)</x:f>
        <x:v>1055.0726650211004</x:v>
      </x:c>
      <x:c r="H6" s="18" t="str">
        <x:f>IF(MAX(E6:G6)=E6,"Liberal",IF(MAX(E6:G6)=F6,"PC","Green"))</x:f>
        <x:v>PC</x:v>
      </x:c>
      <x:c r="I6" s="52" t="n">
        <x:f>B6*(('Nowcast Scenarios'!$B$6/SUM('Nowcast Scenarios'!$B$6:$D$6))/$B$57)</x:f>
        <x:v>2222.80577658584</x:v>
      </x:c>
      <x:c r="J6" s="52" t="n">
        <x:f>C6*(('Nowcast Scenarios'!$C$6/SUM('Nowcast Scenarios'!$B$6:$D$6))/$C$57)</x:f>
        <x:v>4295.450611611321</x:v>
      </x:c>
      <x:c r="K6" s="52" t="n">
        <x:f>D6*(('Nowcast Scenarios'!$D$6/SUM('Nowcast Scenarios'!$B$6:$D$6))/$D$57)</x:f>
        <x:v>1196.4020273117253</x:v>
      </x:c>
      <x:c r="L6" s="18" t="str">
        <x:f>IF(MAX(I6:K6)=I6,"Liberal",IF(MAX(I6:K6)=J6,"PC","Green"))</x:f>
        <x:v>PC</x:v>
      </x:c>
      <x:c r="M6" s="52" t="n">
        <x:f>B6*(('Nowcast Scenarios'!$B$7/SUM('Nowcast Scenarios'!$B$7:$D$7))/$B$57)</x:f>
        <x:v>2302.191697178191</x:v>
      </x:c>
      <x:c r="N6" s="52" t="n">
        <x:f>C6*(('Nowcast Scenarios'!$C$7/SUM('Nowcast Scenarios'!$B$7:$D$7))/$C$57)</x:f>
        <x:v>4086.359894009076</x:v>
      </x:c>
      <x:c r="O6" s="52" t="n">
        <x:f>D6*(('Nowcast Scenarios'!$D$7/SUM('Nowcast Scenarios'!$B$7:$D$7))/$D$57)</x:f>
        <x:v>1199.3561063915072</x:v>
      </x:c>
      <x:c r="P6" s="18" t="str">
        <x:f>IF(MAX(M6:O6)=M6,"Liberal",IF(MAX(M6:O6)=N6,"PC","Green"))</x:f>
        <x:v>PC</x:v>
      </x:c>
      <x:c r="Q6" s="52" t="n">
        <x:f>B6*(('Nowcast Scenarios'!$B$8/SUM('Nowcast Scenarios'!$B$8:$D$8))/$B$57)</x:f>
        <x:v>2218.395555313952</x:v>
      </x:c>
      <x:c r="R6" s="52" t="n">
        <x:f>C6*(('Nowcast Scenarios'!$C$8/SUM('Nowcast Scenarios'!$B$8:$D$8))/$C$57)</x:f>
        <x:v>4366.312524864447</x:v>
      </x:c>
      <x:c r="S6" s="52" t="n">
        <x:f>D6*(('Nowcast Scenarios'!$D$8/SUM('Nowcast Scenarios'!$B$8:$D$8))/$D$57)</x:f>
        <x:v>1157.7340295640936</x:v>
      </x:c>
      <x:c r="T6" s="18" t="str">
        <x:f>IF(MAX(Q6:S6)=Q6,"Liberal",IF(MAX(Q6:S6)=R6,"PC","Green"))</x:f>
        <x:v>PC</x:v>
      </x:c>
      <x:c r="U6" s="52" t="n">
        <x:f>B6*(('Nowcast Scenarios'!$B$9/SUM('Nowcast Scenarios'!$B$9:$D$9))/$B$57)</x:f>
        <x:v>2089.8798506318103</x:v>
      </x:c>
      <x:c r="V6" s="52" t="n">
        <x:f>C6*(('Nowcast Scenarios'!$C$9/SUM('Nowcast Scenarios'!$B$9:$D$9))/$C$57)</x:f>
        <x:v>4697.4452869458755</x:v>
      </x:c>
      <x:c r="W6" s="52" t="n">
        <x:f>D6*(('Nowcast Scenarios'!$D$9/SUM('Nowcast Scenarios'!$B$9:$D$9))/$D$57)</x:f>
        <x:v>1157.7340295640936</x:v>
      </x:c>
      <x:c r="X6" s="18" t="str">
        <x:f>IF(MAX(U6:W6)=U6,"Liberal",IF(MAX(U6:W6)=V6,"PC","Green"))</x:f>
        <x:v>PC</x:v>
      </x:c>
      <x:c r="Y6" s="52" t="n">
        <x:f>B6*(('Nowcast Scenarios'!$B$10/SUM('Nowcast Scenarios'!$B$10:$D$10))/$B$57)</x:f>
        <x:v>1702.2764853104704</x:v>
      </x:c>
      <x:c r="Z6" s="52" t="n">
        <x:f>C6*(('Nowcast Scenarios'!$C$10/SUM('Nowcast Scenarios'!$B$10:$D$10))/$C$57)</x:f>
        <x:v>5696.141697383459</x:v>
      </x:c>
      <x:c r="AA6" s="52" t="n">
        <x:f>D6*(('Nowcast Scenarios'!$D$10/SUM('Nowcast Scenarios'!$B$10:$D$10))/$D$57)</x:f>
        <x:v>1157.7340295640936</x:v>
      </x:c>
      <x:c r="AB6" s="18" t="str">
        <x:f>IF(MAX(Y6:AA6)=Y6,"Liberal",IF(MAX(Y6:AA6)=Z6,"PC","Green"))</x:f>
        <x:v>PC</x:v>
      </x:c>
      <x:c r="AC6" s="52" t="n">
        <x:f>B6*(('Nowcast Scenarios'!$B$11/SUM('Nowcast Scenarios'!$B$11:$D$11))/$B$57)</x:f>
        <x:v>2007.9073095438391</x:v>
      </x:c>
      <x:c r="AD6" s="52" t="n">
        <x:f>C6*(('Nowcast Scenarios'!$C$11/SUM('Nowcast Scenarios'!$B$11:$D$11))/$C$57)</x:f>
        <x:v>4908.655224380587</x:v>
      </x:c>
      <x:c r="AE6" s="52" t="n">
        <x:f>D6*(('Nowcast Scenarios'!$D$11/SUM('Nowcast Scenarios'!$B$11:$D$11))/$D$57)</x:f>
        <x:v>1157.7340295640936</x:v>
      </x:c>
      <x:c r="AF6" s="18" t="str">
        <x:f>IF(MAX(AC6:AE6)=AC6,"Liberal",IF(MAX(AC6:AE6)=AD6,"PC","Green"))</x:f>
        <x:v>PC</x:v>
      </x:c>
      <x:c r="AG6" s="52" t="n">
        <x:f>B6*(('Nowcast Scenarios'!$B$12/SUM('Nowcast Scenarios'!$B$12:$D$12))/$B$57)</x:f>
        <x:v>1956.5010276709827</x:v>
      </x:c>
      <x:c r="AH6" s="52" t="n">
        <x:f>C6*(('Nowcast Scenarios'!$C$12/SUM('Nowcast Scenarios'!$B$12:$D$12))/$C$57)</x:f>
        <x:v>5041.108329213159</x:v>
      </x:c>
      <x:c r="AI6" s="52" t="n">
        <x:f>D6*(('Nowcast Scenarios'!$D$12/SUM('Nowcast Scenarios'!$B$12:$D$12))/$D$57)</x:f>
        <x:v>1157.7340295640936</x:v>
      </x:c>
      <x:c r="AJ6" s="18" t="str">
        <x:f>IF(MAX(AG6:AI6)=AG6,"Liberal",IF(MAX(AG6:AI6)=AH6,"PC","Green"))</x:f>
        <x:v>PC</x:v>
      </x:c>
    </x:row>
    <x:row r="7">
      <x:c r="A7" s="18" t="str">
        <x:v>Bathurst</x:v>
      </x:c>
      <x:c r="B7" s="18" t="n">
        <x:v>3357</x:v>
      </x:c>
      <x:c r="C7" s="18" t="n">
        <x:v>2029</x:v>
      </x:c>
      <x:c r="D7" s="18" t="n">
        <x:v>325</x:v>
      </x:c>
      <x:c r="E7" s="52" t="n">
        <x:f>B7*(('Nowcast Scenarios'!$B$5/SUM('Nowcast Scenarios'!$B$5:$D$5))/$B$57)</x:f>
        <x:v>3056.4822485513696</x:v>
      </x:c>
      <x:c r="F7" s="52" t="n">
        <x:f>C7*(('Nowcast Scenarios'!$C$5/SUM('Nowcast Scenarios'!$B$5:$D$5))/$C$57)</x:f>
        <x:v>2306.699467640868</x:v>
      </x:c>
      <x:c r="G7" s="52" t="n">
        <x:f>D7*(('Nowcast Scenarios'!$D$5/SUM('Nowcast Scenarios'!$B$5:$D$5))/$D$57)</x:f>
        <x:v>313.7224301297874</x:v>
      </x:c>
      <x:c r="H7" s="18" t="str">
        <x:f>IF(MAX(E7:G7)=E7,"Liberal",IF(MAX(E7:G7)=F7,"PC","Green"))</x:f>
        <x:v>Liberal</x:v>
      </x:c>
      <x:c r="I7" s="52" t="n">
        <x:f>B7*(('Nowcast Scenarios'!$B$6/SUM('Nowcast Scenarios'!$B$6:$D$6))/$B$57)</x:f>
        <x:v>3259.920922673073</x:v>
      </x:c>
      <x:c r="J7" s="52" t="n">
        <x:f>C7*(('Nowcast Scenarios'!$C$6/SUM('Nowcast Scenarios'!$B$6:$D$6))/$C$57)</x:f>
        <x:v>2034.4232705320658</x:v>
      </x:c>
      <x:c r="K7" s="52" t="n">
        <x:f>D7*(('Nowcast Scenarios'!$D$6/SUM('Nowcast Scenarios'!$B$6:$D$6))/$D$57)</x:f>
        <x:v>355.74625697741146</x:v>
      </x:c>
      <x:c r="L7" s="18" t="str">
        <x:f>IF(MAX(I7:K7)=I7,"Liberal",IF(MAX(I7:K7)=J7,"PC","Green"))</x:f>
        <x:v>Liberal</x:v>
      </x:c>
      <x:c r="M7" s="52" t="n">
        <x:f>B7*(('Nowcast Scenarios'!$B$7/SUM('Nowcast Scenarios'!$B$7:$D$7))/$B$57)</x:f>
        <x:v>3376.346669911397</x:v>
      </x:c>
      <x:c r="N7" s="52" t="n">
        <x:f>C7*(('Nowcast Scenarios'!$C$7/SUM('Nowcast Scenarios'!$B$7:$D$7))/$C$57)</x:f>
        <x:v>1935.3931430775947</x:v>
      </x:c>
      <x:c r="O7" s="52" t="n">
        <x:f>D7*(('Nowcast Scenarios'!$D$7/SUM('Nowcast Scenarios'!$B$7:$D$7))/$D$57)</x:f>
        <x:v>356.6246427971088</x:v>
      </x:c>
      <x:c r="P7" s="18" t="str">
        <x:f>IF(MAX(M7:O7)=M7,"Liberal",IF(MAX(M7:O7)=N7,"PC","Green"))</x:f>
        <x:v>Liberal</x:v>
      </x:c>
      <x:c r="Q7" s="52" t="n">
        <x:f>B7*(('Nowcast Scenarios'!$B$8/SUM('Nowcast Scenarios'!$B$8:$D$8))/$B$57)</x:f>
        <x:v>3253.452983481405</x:v>
      </x:c>
      <x:c r="R7" s="52" t="n">
        <x:f>C7*(('Nowcast Scenarios'!$C$8/SUM('Nowcast Scenarios'!$B$8:$D$8))/$C$57)</x:f>
        <x:v>2067.985087056481</x:v>
      </x:c>
      <x:c r="S7" s="52" t="n">
        <x:f>D7*(('Nowcast Scenarios'!$D$8/SUM('Nowcast Scenarios'!$B$8:$D$8))/$D$57)</x:f>
        <x:v>344.24845343854565</x:v>
      </x:c>
      <x:c r="T7" s="18" t="str">
        <x:f>IF(MAX(Q7:S7)=Q7,"Liberal",IF(MAX(Q7:S7)=R7,"PC","Green"))</x:f>
        <x:v>Liberal</x:v>
      </x:c>
      <x:c r="U7" s="52" t="n">
        <x:f>B7*(('Nowcast Scenarios'!$B$9/SUM('Nowcast Scenarios'!$B$9:$D$9))/$B$57)</x:f>
        <x:v>3064.974512263428</x:v>
      </x:c>
      <x:c r="V7" s="52" t="n">
        <x:f>C7*(('Nowcast Scenarios'!$C$9/SUM('Nowcast Scenarios'!$B$9:$D$9))/$C$57)</x:f>
        <x:v>2224.8171071926195</x:v>
      </x:c>
      <x:c r="W7" s="52" t="n">
        <x:f>D7*(('Nowcast Scenarios'!$D$9/SUM('Nowcast Scenarios'!$B$9:$D$9))/$D$57)</x:f>
        <x:v>344.24845343854565</x:v>
      </x:c>
      <x:c r="X7" s="18" t="str">
        <x:f>IF(MAX(U7:W7)=U7,"Liberal",IF(MAX(U7:W7)=V7,"PC","Green"))</x:f>
        <x:v>Liberal</x:v>
      </x:c>
      <x:c r="Y7" s="52" t="n">
        <x:f>B7*(('Nowcast Scenarios'!$B$10/SUM('Nowcast Scenarios'!$B$10:$D$10))/$B$57)</x:f>
        <x:v>2496.5234430700084</x:v>
      </x:c>
      <x:c r="Z7" s="52" t="n">
        <x:f>C7*(('Nowcast Scenarios'!$C$10/SUM('Nowcast Scenarios'!$B$10:$D$10))/$C$57)</x:f>
        <x:v>2697.8224799232116</x:v>
      </x:c>
      <x:c r="AA7" s="52" t="n">
        <x:f>D7*(('Nowcast Scenarios'!$D$10/SUM('Nowcast Scenarios'!$B$10:$D$10))/$D$57)</x:f>
        <x:v>344.24845343854565</x:v>
      </x:c>
      <x:c r="AB7" s="18" t="str">
        <x:f>IF(MAX(Y7:AA7)=Y7,"Liberal",IF(MAX(Y7:AA7)=Z7,"PC","Green"))</x:f>
        <x:v>PC</x:v>
      </x:c>
      <x:c r="AC7" s="52" t="n">
        <x:f>B7*(('Nowcast Scenarios'!$B$11/SUM('Nowcast Scenarios'!$B$11:$D$11))/$B$57)</x:f>
        <x:v>2944.755280969274</x:v>
      </x:c>
      <x:c r="AD7" s="52" t="n">
        <x:f>C7*(('Nowcast Scenarios'!$C$11/SUM('Nowcast Scenarios'!$B$11:$D$11))/$C$57)</x:f>
        <x:v>2324.850945440759</x:v>
      </x:c>
      <x:c r="AE7" s="52" t="n">
        <x:f>D7*(('Nowcast Scenarios'!$D$11/SUM('Nowcast Scenarios'!$B$11:$D$11))/$D$57)</x:f>
        <x:v>344.24845343854565</x:v>
      </x:c>
      <x:c r="AF7" s="18" t="str">
        <x:f>IF(MAX(AC7:AE7)=AC7,"Liberal",IF(MAX(AC7:AE7)=AD7,"PC","Green"))</x:f>
        <x:v>Liberal</x:v>
      </x:c>
      <x:c r="AG7" s="52" t="n">
        <x:f>B7*(('Nowcast Scenarios'!$B$12/SUM('Nowcast Scenarios'!$B$12:$D$12))/$B$57)</x:f>
        <x:v>2869.3638924820834</x:v>
      </x:c>
      <x:c r="AH7" s="52" t="n">
        <x:f>C7*(('Nowcast Scenarios'!$C$12/SUM('Nowcast Scenarios'!$B$12:$D$12))/$C$57)</x:f>
        <x:v>2387.5837534952143</x:v>
      </x:c>
      <x:c r="AI7" s="52" t="n">
        <x:f>D7*(('Nowcast Scenarios'!$D$12/SUM('Nowcast Scenarios'!$B$12:$D$12))/$D$57)</x:f>
        <x:v>344.24845343854565</x:v>
      </x:c>
      <x:c r="AJ7" s="18" t="str">
        <x:f>IF(MAX(AG7:AI7)=AG7,"Liberal",IF(MAX(AG7:AI7)=AH7,"PC","Green"))</x:f>
        <x:v>Liberal</x:v>
      </x:c>
    </x:row>
    <x:row r="8">
      <x:c r="A8" s="18" t="str">
        <x:v>Beausoleil-Grand-Bouctouche-Kent</x:v>
      </x:c>
      <x:c r="B8" s="18" t="n">
        <x:v>5794</x:v>
      </x:c>
      <x:c r="C8" s="18" t="n">
        <x:v>1761</x:v>
      </x:c>
      <x:c r="D8" s="18" t="n">
        <x:v>1220</x:v>
      </x:c>
      <x:c r="E8" s="52" t="n">
        <x:f>B8*(('Nowcast Scenarios'!$B$5/SUM('Nowcast Scenarios'!$B$5:$D$5))/$B$57)</x:f>
        <x:v>5275.322653591491</x:v>
      </x:c>
      <x:c r="F8" s="52" t="n">
        <x:f>C8*(('Nowcast Scenarios'!$C$5/SUM('Nowcast Scenarios'!$B$5:$D$5))/$C$57)</x:f>
        <x:v>2002.0195970998368</x:v>
      </x:c>
      <x:c r="G8" s="52" t="n">
        <x:f>D8*(('Nowcast Scenarios'!$D$5/SUM('Nowcast Scenarios'!$B$5:$D$5))/$D$57)</x:f>
        <x:v>1177.6657377179713</x:v>
      </x:c>
      <x:c r="H8" s="18" t="str">
        <x:f>IF(MAX(E8:G8)=E8,"Liberal",IF(MAX(E8:G8)=F8,"PC","Green"))</x:f>
        <x:v>Liberal</x:v>
      </x:c>
      <x:c r="I8" s="52" t="n">
        <x:f>B8*(('Nowcast Scenarios'!$B$6/SUM('Nowcast Scenarios'!$B$6:$D$6))/$B$57)</x:f>
        <x:v>5626.446775682986</x:v>
      </x:c>
      <x:c r="J8" s="52" t="n">
        <x:f>C8*(('Nowcast Scenarios'!$C$6/SUM('Nowcast Scenarios'!$B$6:$D$6))/$C$57)</x:f>
        <x:v>1765.7069390867264</x:v>
      </x:c>
      <x:c r="K8" s="52" t="n">
        <x:f>D8*(('Nowcast Scenarios'!$D$6/SUM('Nowcast Scenarios'!$B$6:$D$6))/$D$57)</x:f>
        <x:v>1335.4167184998214</x:v>
      </x:c>
      <x:c r="L8" s="18" t="str">
        <x:f>IF(MAX(I8:K8)=I8,"Liberal",IF(MAX(I8:K8)=J8,"PC","Green"))</x:f>
        <x:v>Liberal</x:v>
      </x:c>
      <x:c r="M8" s="52" t="n">
        <x:f>B8*(('Nowcast Scenarios'!$B$7/SUM('Nowcast Scenarios'!$B$7:$D$7))/$B$57)</x:f>
        <x:v>5827.39130338595</x:v>
      </x:c>
      <x:c r="N8" s="52" t="n">
        <x:f>C8*(('Nowcast Scenarios'!$C$7/SUM('Nowcast Scenarios'!$B$7:$D$7))/$C$57)</x:f>
        <x:v>1679.757183321658</x:v>
      </x:c>
      <x:c r="O8" s="52" t="n">
        <x:f>D8*(('Nowcast Scenarios'!$D$7/SUM('Nowcast Scenarios'!$B$7:$D$7))/$D$57)</x:f>
        <x:v>1338.7140437306853</x:v>
      </x:c>
      <x:c r="P8" s="18" t="str">
        <x:f>IF(MAX(M8:O8)=M8,"Liberal",IF(MAX(M8:O8)=N8,"PC","Green"))</x:f>
        <x:v>Liberal</x:v>
      </x:c>
      <x:c r="Q8" s="52" t="n">
        <x:f>B8*(('Nowcast Scenarios'!$B$8/SUM('Nowcast Scenarios'!$B$8:$D$8))/$B$57)</x:f>
        <x:v>5615.283463297963</x:v>
      </x:c>
      <x:c r="R8" s="52" t="n">
        <x:f>C8*(('Nowcast Scenarios'!$C$8/SUM('Nowcast Scenarios'!$B$8:$D$8))/$C$57)</x:f>
        <x:v>1794.8357507671083</x:v>
      </x:c>
      <x:c r="S8" s="52" t="n">
        <x:f>D8*(('Nowcast Scenarios'!$D$8/SUM('Nowcast Scenarios'!$B$8:$D$8))/$D$57)</x:f>
        <x:v>1292.2557329077715</x:v>
      </x:c>
      <x:c r="T8" s="18" t="str">
        <x:f>IF(MAX(Q8:S8)=Q8,"Liberal",IF(MAX(Q8:S8)=R8,"PC","Green"))</x:f>
        <x:v>Liberal</x:v>
      </x:c>
      <x:c r="U8" s="52" t="n">
        <x:f>B8*(('Nowcast Scenarios'!$B$9/SUM('Nowcast Scenarios'!$B$9:$D$9))/$B$57)</x:f>
        <x:v>5289.979840349807</x:v>
      </x:c>
      <x:c r="V8" s="52" t="n">
        <x:f>C8*(('Nowcast Scenarios'!$C$9/SUM('Nowcast Scenarios'!$B$9:$D$9))/$C$57)</x:f>
        <x:v>1930.9526494658464</x:v>
      </x:c>
      <x:c r="W8" s="52" t="n">
        <x:f>D8*(('Nowcast Scenarios'!$D$9/SUM('Nowcast Scenarios'!$B$9:$D$9))/$D$57)</x:f>
        <x:v>1292.2557329077715</x:v>
      </x:c>
      <x:c r="X8" s="18" t="str">
        <x:f>IF(MAX(U8:W8)=U8,"Liberal",IF(MAX(U8:W8)=V8,"PC","Green"))</x:f>
        <x:v>Liberal</x:v>
      </x:c>
      <x:c r="Y8" s="52" t="n">
        <x:f>B8*(('Nowcast Scenarios'!$B$10/SUM('Nowcast Scenarios'!$B$10:$D$10))/$B$57)</x:f>
        <x:v>4308.864113538168</x:v>
      </x:c>
      <x:c r="Z8" s="52" t="n">
        <x:f>C8*(('Nowcast Scenarios'!$C$10/SUM('Nowcast Scenarios'!$B$10:$D$10))/$C$57)</x:f>
        <x:v>2341.48121594124</x:v>
      </x:c>
      <x:c r="AA8" s="52" t="n">
        <x:f>D8*(('Nowcast Scenarios'!$D$10/SUM('Nowcast Scenarios'!$B$10:$D$10))/$D$57)</x:f>
        <x:v>1292.2557329077715</x:v>
      </x:c>
      <x:c r="AB8" s="18" t="str">
        <x:f>IF(MAX(Y8:AA8)=Y8,"Liberal",IF(MAX(Y8:AA8)=Z8,"PC","Green"))</x:f>
        <x:v>Liberal</x:v>
      </x:c>
      <x:c r="AC8" s="52" t="n">
        <x:f>B8*(('Nowcast Scenarios'!$B$11/SUM('Nowcast Scenarios'!$B$11:$D$11))/$B$57)</x:f>
        <x:v>5082.487964830496</x:v>
      </x:c>
      <x:c r="AD8" s="52" t="n">
        <x:f>C8*(('Nowcast Scenarios'!$C$11/SUM('Nowcast Scenarios'!$B$11:$D$11))/$C$57)</x:f>
        <x:v>2017.773541114429</x:v>
      </x:c>
      <x:c r="AE8" s="52" t="n">
        <x:f>D8*(('Nowcast Scenarios'!$D$11/SUM('Nowcast Scenarios'!$B$11:$D$11))/$D$57)</x:f>
        <x:v>1292.2557329077715</x:v>
      </x:c>
      <x:c r="AF8" s="18" t="str">
        <x:f>IF(MAX(AC8:AE8)=AC8,"Liberal",IF(MAX(AC8:AE8)=AD8,"PC","Green"))</x:f>
        <x:v>Liberal</x:v>
      </x:c>
      <x:c r="AG8" s="52" t="n">
        <x:f>B8*(('Nowcast Scenarios'!$B$12/SUM('Nowcast Scenarios'!$B$12:$D$12))/$B$57)</x:f>
        <x:v>4952.366515651233</x:v>
      </x:c>
      <x:c r="AH8" s="52" t="n">
        <x:f>C8*(('Nowcast Scenarios'!$C$12/SUM('Nowcast Scenarios'!$B$12:$D$12))/$C$57)</x:f>
        <x:v>2072.2203005939245</x:v>
      </x:c>
      <x:c r="AI8" s="52" t="n">
        <x:f>D8*(('Nowcast Scenarios'!$D$12/SUM('Nowcast Scenarios'!$B$12:$D$12))/$D$57)</x:f>
        <x:v>1292.2557329077715</x:v>
      </x:c>
      <x:c r="AJ8" s="18" t="str">
        <x:f>IF(MAX(AG8:AI8)=AG8,"Liberal",IF(MAX(AG8:AI8)=AH8,"PC","Green"))</x:f>
        <x:v>Liberal</x:v>
      </x:c>
    </x:row>
    <x:row r="9">
      <x:c r="A9" s="18" t="str">
        <x:v>Belle-Baie-Belledune</x:v>
      </x:c>
      <x:c r="B9" s="18" t="n">
        <x:v>5053</x:v>
      </x:c>
      <x:c r="C9" s="18" t="n">
        <x:v>1254</x:v>
      </x:c>
      <x:c r="D9" s="18" t="n">
        <x:v>1411</x:v>
      </x:c>
      <x:c r="E9" s="52" t="n">
        <x:f>B9*(('Nowcast Scenarios'!$B$5/SUM('Nowcast Scenarios'!$B$5:$D$5))/$B$57)</x:f>
        <x:v>4600.656777459062</x:v>
      </x:c>
      <x:c r="F9" s="52" t="n">
        <x:f>C9*(('Nowcast Scenarios'!$C$5/SUM('Nowcast Scenarios'!$B$5:$D$5))/$C$57)</x:f>
        <x:v>1425.6289464867662</x:v>
      </x:c>
      <x:c r="G9" s="52" t="n">
        <x:f>D9*(('Nowcast Scenarios'!$D$5/SUM('Nowcast Scenarios'!$B$5:$D$5))/$D$57)</x:f>
        <x:v>1362.0379966557848</x:v>
      </x:c>
      <x:c r="H9" s="18" t="str">
        <x:f>IF(MAX(E9:G9)=E9,"Liberal",IF(MAX(E9:G9)=F9,"PC","Green"))</x:f>
        <x:v>Liberal</x:v>
      </x:c>
      <x:c r="I9" s="52" t="n">
        <x:f>B9*(('Nowcast Scenarios'!$B$6/SUM('Nowcast Scenarios'!$B$6:$D$6))/$B$57)</x:f>
        <x:v>4906.875311965159</x:v>
      </x:c>
      <x:c r="J9" s="52" t="n">
        <x:f>C9*(('Nowcast Scenarios'!$C$6/SUM('Nowcast Scenarios'!$B$6:$D$6))/$C$57)</x:f>
        <x:v>1257.3517896733417</x:v>
      </x:c>
      <x:c r="K9" s="52" t="n">
        <x:f>D9*(('Nowcast Scenarios'!$D$6/SUM('Nowcast Scenarios'!$B$6:$D$6))/$D$57)</x:f>
        <x:v>1544.4860572157772</x:v>
      </x:c>
      <x:c r="L9" s="18" t="str">
        <x:f>IF(MAX(I9:K9)=I9,"Liberal",IF(MAX(I9:K9)=J9,"PC","Green"))</x:f>
        <x:v>Liberal</x:v>
      </x:c>
      <x:c r="M9" s="52" t="n">
        <x:f>B9*(('Nowcast Scenarios'!$B$7/SUM('Nowcast Scenarios'!$B$7:$D$7))/$B$57)</x:f>
        <x:v>5082.120858821057</x:v>
      </x:c>
      <x:c r="N9" s="52" t="n">
        <x:f>C9*(('Nowcast Scenarios'!$C$7/SUM('Nowcast Scenarios'!$B$7:$D$7))/$C$57)</x:f>
        <x:v>1196.1473639326287</x:v>
      </x:c>
      <x:c r="O9" s="52" t="n">
        <x:f>D9*(('Nowcast Scenarios'!$D$7/SUM('Nowcast Scenarios'!$B$7:$D$7))/$D$57)</x:f>
        <x:v>1548.299603036063</x:v>
      </x:c>
      <x:c r="P9" s="18" t="str">
        <x:f>IF(MAX(M9:O9)=M9,"Liberal",IF(MAX(M9:O9)=N9,"PC","Green"))</x:f>
        <x:v>Liberal</x:v>
      </x:c>
      <x:c r="Q9" s="52" t="n">
        <x:f>B9*(('Nowcast Scenarios'!$B$8/SUM('Nowcast Scenarios'!$B$8:$D$8))/$B$57)</x:f>
        <x:v>4897.139685889646</x:v>
      </x:c>
      <x:c r="R9" s="52" t="n">
        <x:f>C9*(('Nowcast Scenarios'!$C$8/SUM('Nowcast Scenarios'!$B$8:$D$8))/$C$57)</x:f>
        <x:v>1278.0942824883327</x:v>
      </x:c>
      <x:c r="S9" s="52" t="n">
        <x:f>D9*(('Nowcast Scenarios'!$D$8/SUM('Nowcast Scenarios'!$B$8:$D$8))/$D$57)</x:f>
        <x:v>1494.5679009285784</x:v>
      </x:c>
      <x:c r="T9" s="18" t="str">
        <x:f>IF(MAX(Q9:S9)=Q9,"Liberal",IF(MAX(Q9:S9)=R9,"PC","Green"))</x:f>
        <x:v>Liberal</x:v>
      </x:c>
      <x:c r="U9" s="52" t="n">
        <x:f>B9*(('Nowcast Scenarios'!$B$9/SUM('Nowcast Scenarios'!$B$9:$D$9))/$B$57)</x:f>
        <x:v>4613.439443094162</x:v>
      </x:c>
      <x:c r="V9" s="52" t="n">
        <x:f>C9*(('Nowcast Scenarios'!$C$9/SUM('Nowcast Scenarios'!$B$9:$D$9))/$C$57)</x:f>
        <x:v>1375.0224999603472</x:v>
      </x:c>
      <x:c r="W9" s="52" t="n">
        <x:f>D9*(('Nowcast Scenarios'!$D$9/SUM('Nowcast Scenarios'!$B$9:$D$9))/$D$57)</x:f>
        <x:v>1494.5679009285784</x:v>
      </x:c>
      <x:c r="X9" s="18" t="str">
        <x:f>IF(MAX(U9:W9)=U9,"Liberal",IF(MAX(U9:W9)=V9,"PC","Green"))</x:f>
        <x:v>Liberal</x:v>
      </x:c>
      <x:c r="Y9" s="52" t="n">
        <x:f>B9*(('Nowcast Scenarios'!$B$10/SUM('Nowcast Scenarios'!$B$10:$D$10))/$B$57)</x:f>
        <x:v>3757.7995108229825</x:v>
      </x:c>
      <x:c r="Z9" s="52" t="n">
        <x:f>C9*(('Nowcast Scenarios'!$C$10/SUM('Nowcast Scenarios'!$B$10:$D$10))/$C$57)</x:f>
        <x:v>1667.3580038559426</x:v>
      </x:c>
      <x:c r="AA9" s="52" t="n">
        <x:f>D9*(('Nowcast Scenarios'!$D$10/SUM('Nowcast Scenarios'!$B$10:$D$10))/$D$57)</x:f>
        <x:v>1494.5679009285784</x:v>
      </x:c>
      <x:c r="AB9" s="18" t="str">
        <x:f>IF(MAX(Y9:AA9)=Y9,"Liberal",IF(MAX(Y9:AA9)=Z9,"PC","Green"))</x:f>
        <x:v>Liberal</x:v>
      </x:c>
      <x:c r="AC9" s="52" t="n">
        <x:f>B9*(('Nowcast Scenarios'!$B$11/SUM('Nowcast Scenarios'!$B$11:$D$11))/$B$57)</x:f>
        <x:v>4432.483894768467</x:v>
      </x:c>
      <x:c r="AD9" s="52" t="n">
        <x:f>C9*(('Nowcast Scenarios'!$C$11/SUM('Nowcast Scenarios'!$B$11:$D$11))/$C$57)</x:f>
        <x:v>1436.8472575567826</x:v>
      </x:c>
      <x:c r="AE9" s="52" t="n">
        <x:f>D9*(('Nowcast Scenarios'!$D$11/SUM('Nowcast Scenarios'!$B$11:$D$11))/$D$57)</x:f>
        <x:v>1494.5679009285784</x:v>
      </x:c>
      <x:c r="AF9" s="18" t="str">
        <x:f>IF(MAX(AC9:AE9)=AC9,"Liberal",IF(MAX(AC9:AE9)=AD9,"PC","Green"))</x:f>
        <x:v>Liberal</x:v>
      </x:c>
      <x:c r="AG9" s="52" t="n">
        <x:f>B9*(('Nowcast Scenarios'!$B$12/SUM('Nowcast Scenarios'!$B$12:$D$12))/$B$57)</x:f>
        <x:v>4319.003797650273</x:v>
      </x:c>
      <x:c r="AH9" s="52" t="n">
        <x:f>C9*(('Nowcast Scenarios'!$C$12/SUM('Nowcast Scenarios'!$B$12:$D$12))/$C$57)</x:f>
        <x:v>1475.6185445455885</x:v>
      </x:c>
      <x:c r="AI9" s="52" t="n">
        <x:f>D9*(('Nowcast Scenarios'!$D$12/SUM('Nowcast Scenarios'!$B$12:$D$12))/$D$57)</x:f>
        <x:v>1494.5679009285784</x:v>
      </x:c>
      <x:c r="AJ9" s="18" t="str">
        <x:f>IF(MAX(AG9:AI9)=AG9,"Liberal",IF(MAX(AG9:AI9)=AH9,"PC","Green"))</x:f>
        <x:v>Liberal</x:v>
      </x:c>
    </x:row>
    <x:row r="10">
      <x:c r="A10" s="18" t="str">
        <x:v>Caraquet</x:v>
      </x:c>
      <x:c r="B10" s="18" t="n">
        <x:v>6002</x:v>
      </x:c>
      <x:c r="C10" s="18" t="n">
        <x:v>719</x:v>
      </x:c>
      <x:c r="D10" s="18" t="n">
        <x:v>0</x:v>
      </x:c>
      <x:c r="E10" s="52" t="n">
        <x:f>B10*(('Nowcast Scenarios'!$B$5/SUM('Nowcast Scenarios'!$B$5:$D$5))/$B$57)</x:f>
        <x:v>5464.702548646208</x:v>
      </x:c>
      <x:c r="F10" s="52" t="n">
        <x:f>C10*(('Nowcast Scenarios'!$C$5/SUM('Nowcast Scenarios'!$B$5:$D$5))/$C$57)</x:f>
        <x:v>817.4060705932894</x:v>
      </x:c>
      <x:c r="G10" s="52" t="n">
        <x:f>D10*(('Nowcast Scenarios'!$D$5/SUM('Nowcast Scenarios'!$B$5:$D$5))/$D$57)</x:f>
        <x:v>0</x:v>
      </x:c>
      <x:c r="H10" s="18" t="str">
        <x:f>IF(MAX(E10:G10)=E10,"Liberal",IF(MAX(E10:G10)=F10,"PC","Green"))</x:f>
        <x:v>Liberal</x:v>
      </x:c>
      <x:c r="I10" s="52" t="n">
        <x:f>B10*(('Nowcast Scenarios'!$B$6/SUM('Nowcast Scenarios'!$B$6:$D$6))/$B$57)</x:f>
        <x:v>5828.431747954657</x:v>
      </x:c>
      <x:c r="J10" s="52" t="n">
        <x:f>C10*(('Nowcast Scenarios'!$C$6/SUM('Nowcast Scenarios'!$B$6:$D$6))/$C$57)</x:f>
        <x:v>720.9217996611903</x:v>
      </x:c>
      <x:c r="K10" s="52" t="n">
        <x:f>D10*(('Nowcast Scenarios'!$D$6/SUM('Nowcast Scenarios'!$B$6:$D$6))/$D$57)</x:f>
        <x:v>0</x:v>
      </x:c>
      <x:c r="L10" s="18" t="str">
        <x:f>IF(MAX(I10:K10)=I10,"Liberal",IF(MAX(I10:K10)=J10,"PC","Green"))</x:f>
        <x:v>Liberal</x:v>
      </x:c>
      <x:c r="M10" s="52" t="n">
        <x:f>B10*(('Nowcast Scenarios'!$B$7/SUM('Nowcast Scenarios'!$B$7:$D$7))/$B$57)</x:f>
        <x:v>6036.590024667324</x:v>
      </x:c>
      <x:c r="N10" s="52" t="n">
        <x:f>C10*(('Nowcast Scenarios'!$C$7/SUM('Nowcast Scenarios'!$B$7:$D$7))/$C$57)</x:f>
        <x:v>685.8293099422328</x:v>
      </x:c>
      <x:c r="O10" s="52" t="n">
        <x:f>D10*(('Nowcast Scenarios'!$D$7/SUM('Nowcast Scenarios'!$B$7:$D$7))/$D$57)</x:f>
        <x:v>0</x:v>
      </x:c>
      <x:c r="P10" s="18" t="str">
        <x:f>IF(MAX(M10:O10)=M10,"Liberal",IF(MAX(M10:O10)=N10,"PC","Green"))</x:f>
        <x:v>Liberal</x:v>
      </x:c>
      <x:c r="Q10" s="52" t="n">
        <x:f>B10*(('Nowcast Scenarios'!$B$8/SUM('Nowcast Scenarios'!$B$8:$D$8))/$B$57)</x:f>
        <x:v>5816.867681517841</x:v>
      </x:c>
      <x:c r="R10" s="52" t="n">
        <x:f>C10*(('Nowcast Scenarios'!$C$8/SUM('Nowcast Scenarios'!$B$8:$D$8))/$C$57)</x:f>
        <x:v>732.8148238509658</x:v>
      </x:c>
      <x:c r="S10" s="52" t="n">
        <x:f>D10*(('Nowcast Scenarios'!$D$8/SUM('Nowcast Scenarios'!$B$8:$D$8))/$D$57)</x:f>
        <x:v>0</x:v>
      </x:c>
      <x:c r="T10" s="18" t="str">
        <x:f>IF(MAX(Q10:S10)=Q10,"Liberal",IF(MAX(Q10:S10)=R10,"PC","Green"))</x:f>
        <x:v>Liberal</x:v>
      </x:c>
      <x:c r="U10" s="52" t="n">
        <x:f>B10*(('Nowcast Scenarios'!$B$9/SUM('Nowcast Scenarios'!$B$9:$D$9))/$B$57)</x:f>
        <x:v>5479.885916772444</x:v>
      </x:c>
      <x:c r="V10" s="52" t="n">
        <x:f>C10*(('Nowcast Scenarios'!$C$9/SUM('Nowcast Scenarios'!$B$9:$D$9))/$C$57)</x:f>
        <x:v>788.390093677424</x:v>
      </x:c>
      <x:c r="W10" s="52" t="n">
        <x:f>D10*(('Nowcast Scenarios'!$D$9/SUM('Nowcast Scenarios'!$B$9:$D$9))/$D$57)</x:f>
        <x:v>0</x:v>
      </x:c>
      <x:c r="X10" s="18" t="str">
        <x:f>IF(MAX(U10:W10)=U10,"Liberal",IF(MAX(U10:W10)=V10,"PC","Green"))</x:f>
        <x:v>Liberal</x:v>
      </x:c>
      <x:c r="Y10" s="52" t="n">
        <x:f>B10*(('Nowcast Scenarios'!$B$10/SUM('Nowcast Scenarios'!$B$10:$D$10))/$B$57)</x:f>
        <x:v>4463.548914300324</x:v>
      </x:c>
      <x:c r="Z10" s="52" t="n">
        <x:f>C10*(('Nowcast Scenarios'!$C$10/SUM('Nowcast Scenarios'!$B$10:$D$10))/$C$57)</x:f>
        <x:v>956.0051074740213</x:v>
      </x:c>
      <x:c r="AA10" s="52" t="n">
        <x:f>D10*(('Nowcast Scenarios'!$D$10/SUM('Nowcast Scenarios'!$B$10:$D$10))/$D$57)</x:f>
        <x:v>0</x:v>
      </x:c>
      <x:c r="AB10" s="18" t="str">
        <x:f>IF(MAX(Y10:AA10)=Y10,"Liberal",IF(MAX(Y10:AA10)=Z10,"PC","Green"))</x:f>
        <x:v>Liberal</x:v>
      </x:c>
      <x:c r="AC10" s="52" t="n">
        <x:f>B10*(('Nowcast Scenarios'!$B$11/SUM('Nowcast Scenarios'!$B$11:$D$11))/$B$57)</x:f>
        <x:v>5264.945247654925</x:v>
      </x:c>
      <x:c r="AD10" s="52" t="n">
        <x:f>C10*(('Nowcast Scenarios'!$C$11/SUM('Nowcast Scenarios'!$B$11:$D$11))/$C$57)</x:f>
        <x:v>823.8382601142955</x:v>
      </x:c>
      <x:c r="AE10" s="52" t="n">
        <x:f>D10*(('Nowcast Scenarios'!$D$11/SUM('Nowcast Scenarios'!$B$11:$D$11))/$D$57)</x:f>
        <x:v>0</x:v>
      </x:c>
      <x:c r="AF10" s="18" t="str">
        <x:f>IF(MAX(AC10:AE10)=AC10,"Liberal",IF(MAX(AC10:AE10)=AD10,"PC","Green"))</x:f>
        <x:v>Liberal</x:v>
      </x:c>
      <x:c r="AG10" s="52" t="n">
        <x:f>B10*(('Nowcast Scenarios'!$B$12/SUM('Nowcast Scenarios'!$B$12:$D$12))/$B$57)</x:f>
        <x:v>5130.152541756766</x:v>
      </x:c>
      <x:c r="AH10" s="52" t="n">
        <x:f>C10*(('Nowcast Scenarios'!$C$12/SUM('Nowcast Scenarios'!$B$12:$D$12))/$C$57)</x:f>
        <x:v>846.0683680448789</x:v>
      </x:c>
      <x:c r="AI10" s="52" t="n">
        <x:f>D10*(('Nowcast Scenarios'!$D$12/SUM('Nowcast Scenarios'!$B$12:$D$12))/$D$57)</x:f>
        <x:v>0</x:v>
      </x:c>
      <x:c r="AJ10" s="18" t="str">
        <x:f>IF(MAX(AG10:AI10)=AG10,"Liberal",IF(MAX(AG10:AI10)=AH10,"PC","Green"))</x:f>
        <x:v>Liberal</x:v>
      </x:c>
    </x:row>
    <x:row r="11">
      <x:c r="A11" s="18" t="str">
        <x:v>Carleton-Victoria</x:v>
      </x:c>
      <x:c r="B11" s="18" t="n">
        <x:v>2159</x:v>
      </x:c>
      <x:c r="C11" s="18" t="n">
        <x:v>4798</x:v>
      </x:c>
      <x:c r="D11" s="18" t="n">
        <x:v>451</x:v>
      </x:c>
      <x:c r="E11" s="52" t="n">
        <x:f>B11*(('Nowcast Scenarios'!$B$5/SUM('Nowcast Scenarios'!$B$5:$D$5))/$B$57)</x:f>
        <x:v>1965.7268914573747</x:v>
      </x:c>
      <x:c r="F11" s="52" t="n">
        <x:f>C11*(('Nowcast Scenarios'!$C$5/SUM('Nowcast Scenarios'!$B$5:$D$5))/$C$57)</x:f>
        <x:v>5454.679174835331</x:v>
      </x:c>
      <x:c r="G11" s="52" t="n">
        <x:f>D11*(('Nowcast Scenarios'!$D$5/SUM('Nowcast Scenarios'!$B$5:$D$5))/$D$57)</x:f>
        <x:v>435.3502030416435</x:v>
      </x:c>
      <x:c r="H11" s="18" t="str">
        <x:f>IF(MAX(E11:G11)=E11,"Liberal",IF(MAX(E11:G11)=F11,"PC","Green"))</x:f>
        <x:v>PC</x:v>
      </x:c>
      <x:c r="I11" s="52" t="n">
        <x:f>B11*(('Nowcast Scenarios'!$B$6/SUM('Nowcast Scenarios'!$B$6:$D$6))/$B$57)</x:f>
        <x:v>2096.5651689160454</x:v>
      </x:c>
      <x:c r="J11" s="52" t="n">
        <x:f>C11*(('Nowcast Scenarios'!$C$6/SUM('Nowcast Scenarios'!$B$6:$D$6))/$C$57)</x:f>
        <x:v>4810.824471174396</x:v>
      </x:c>
      <x:c r="K11" s="52" t="n">
        <x:f>D11*(('Nowcast Scenarios'!$D$6/SUM('Nowcast Scenarios'!$B$6:$D$6))/$D$57)</x:f>
        <x:v>493.66634429788485</x:v>
      </x:c>
      <x:c r="L11" s="18" t="str">
        <x:f>IF(MAX(I11:K11)=I11,"Liberal",IF(MAX(I11:K11)=J11,"PC","Green"))</x:f>
        <x:v>PC</x:v>
      </x:c>
      <x:c r="M11" s="52" t="n">
        <x:f>B11*(('Nowcast Scenarios'!$B$7/SUM('Nowcast Scenarios'!$B$7:$D$7))/$B$57)</x:f>
        <x:v>2171.4424963773326</x:v>
      </x:c>
      <x:c r="N11" s="52" t="n">
        <x:f>C11*(('Nowcast Scenarios'!$C$7/SUM('Nowcast Scenarios'!$B$7:$D$7))/$C$57)</x:f>
        <x:v>4576.646772048447</x:v>
      </x:c>
      <x:c r="O11" s="52" t="n">
        <x:f>D11*(('Nowcast Scenarios'!$D$7/SUM('Nowcast Scenarios'!$B$7:$D$7))/$D$57)</x:f>
        <x:v>494.8852735430647</x:v>
      </x:c>
      <x:c r="P11" s="18" t="str">
        <x:f>IF(MAX(M11:O11)=M11,"Liberal",IF(MAX(M11:O11)=N11,"PC","Green"))</x:f>
        <x:v>PC</x:v>
      </x:c>
      <x:c r="Q11" s="52" t="n">
        <x:f>B11*(('Nowcast Scenarios'!$B$8/SUM('Nowcast Scenarios'!$B$8:$D$8))/$B$57)</x:f>
        <x:v>2092.405418926528</x:v>
      </x:c>
      <x:c r="R11" s="52" t="n">
        <x:f>C11*(('Nowcast Scenarios'!$C$8/SUM('Nowcast Scenarios'!$B$8:$D$8))/$C$57)</x:f>
        <x:v>4890.188490732871</x:v>
      </x:c>
      <x:c r="S11" s="52" t="n">
        <x:f>D11*(('Nowcast Scenarios'!$D$8/SUM('Nowcast Scenarios'!$B$8:$D$8))/$D$57)</x:f>
        <x:v>477.7109307716434</x:v>
      </x:c>
      <x:c r="T11" s="18" t="str">
        <x:f>IF(MAX(Q11:S11)=Q11,"Liberal",IF(MAX(Q11:S11)=R11,"PC","Green"))</x:f>
        <x:v>PC</x:v>
      </x:c>
      <x:c r="U11" s="52" t="n">
        <x:f>B11*(('Nowcast Scenarios'!$B$9/SUM('Nowcast Scenarios'!$B$9:$D$9))/$B$57)</x:f>
        <x:v>1971.1885528676619</x:v>
      </x:c>
      <x:c r="V11" s="52" t="n">
        <x:f>C11*(('Nowcast Scenarios'!$C$9/SUM('Nowcast Scenarios'!$B$9:$D$9))/$C$57)</x:f>
        <x:v>5261.051000645731</x:v>
      </x:c>
      <x:c r="W11" s="52" t="n">
        <x:f>D11*(('Nowcast Scenarios'!$D$9/SUM('Nowcast Scenarios'!$B$9:$D$9))/$D$57)</x:f>
        <x:v>477.7109307716434</x:v>
      </x:c>
      <x:c r="X11" s="18" t="str">
        <x:f>IF(MAX(U11:W11)=U11,"Liberal",IF(MAX(U11:W11)=V11,"PC","Green"))</x:f>
        <x:v>PC</x:v>
      </x:c>
      <x:c r="Y11" s="52" t="n">
        <x:f>B11*(('Nowcast Scenarios'!$B$10/SUM('Nowcast Scenarios'!$B$10:$D$10))/$B$57)</x:f>
        <x:v>1605.598484834122</x:v>
      </x:c>
      <x:c r="Z11" s="52" t="n">
        <x:f>C11*(('Nowcast Scenarios'!$C$10/SUM('Nowcast Scenarios'!$B$10:$D$10))/$C$57)</x:f>
        <x:v>6379.572330542913</x:v>
      </x:c>
      <x:c r="AA11" s="52" t="n">
        <x:f>D11*(('Nowcast Scenarios'!$D$10/SUM('Nowcast Scenarios'!$B$10:$D$10))/$D$57)</x:f>
        <x:v>477.7109307716434</x:v>
      </x:c>
      <x:c r="AB11" s="18" t="str">
        <x:f>IF(MAX(Y11:AA11)=Y11,"Liberal",IF(MAX(Y11:AA11)=Z11,"PC","Green"))</x:f>
        <x:v>PC</x:v>
      </x:c>
      <x:c r="AC11" s="52" t="n">
        <x:f>B11*(('Nowcast Scenarios'!$B$11/SUM('Nowcast Scenarios'!$B$11:$D$11))/$B$57)</x:f>
        <x:v>1893.871507778571</x:v>
      </x:c>
      <x:c r="AD11" s="52" t="n">
        <x:f>C11*(('Nowcast Scenarios'!$C$11/SUM('Nowcast Scenarios'!$B$11:$D$11))/$C$57)</x:f>
        <x:v>5497.602186409444</x:v>
      </x:c>
      <x:c r="AE11" s="52" t="n">
        <x:f>D11*(('Nowcast Scenarios'!$D$11/SUM('Nowcast Scenarios'!$B$11:$D$11))/$D$57)</x:f>
        <x:v>477.7109307716434</x:v>
      </x:c>
      <x:c r="AF11" s="18" t="str">
        <x:f>IF(MAX(AC11:AE11)=AC11,"Liberal",IF(MAX(AC11:AE11)=AD11,"PC","Green"))</x:f>
        <x:v>PC</x:v>
      </x:c>
      <x:c r="AG11" s="52" t="n">
        <x:f>B11*(('Nowcast Scenarios'!$B$12/SUM('Nowcast Scenarios'!$B$12:$D$12))/$B$57)</x:f>
        <x:v>1845.3847613550247</x:v>
      </x:c>
      <x:c r="AH11" s="52" t="n">
        <x:f>C11*(('Nowcast Scenarios'!$C$12/SUM('Nowcast Scenarios'!$B$12:$D$12))/$C$57)</x:f>
        <x:v>5645.947190374588</x:v>
      </x:c>
      <x:c r="AI11" s="52" t="n">
        <x:f>D11*(('Nowcast Scenarios'!$D$12/SUM('Nowcast Scenarios'!$B$12:$D$12))/$D$57)</x:f>
        <x:v>477.7109307716434</x:v>
      </x:c>
      <x:c r="AJ11" s="18" t="str">
        <x:f>IF(MAX(AG11:AI11)=AG11,"Liberal",IF(MAX(AG11:AI11)=AH11,"PC","Green"))</x:f>
        <x:v>PC</x:v>
      </x:c>
    </x:row>
    <x:row r="12">
      <x:c r="A12" s="18" t="str">
        <x:v>Carleton-York</x:v>
      </x:c>
      <x:c r="B12" s="18" t="n">
        <x:v>2136</x:v>
      </x:c>
      <x:c r="C12" s="18" t="n">
        <x:v>4622</x:v>
      </x:c>
      <x:c r="D12" s="18" t="n">
        <x:v>675</x:v>
      </x:c>
      <x:c r="E12" s="52" t="n">
        <x:f>B12*(('Nowcast Scenarios'!$B$5/SUM('Nowcast Scenarios'!$B$5:$D$5))/$B$57)</x:f>
        <x:v>1944.7858453695935</x:v>
      </x:c>
      <x:c r="F12" s="52" t="n">
        <x:f>C12*(('Nowcast Scenarios'!$C$5/SUM('Nowcast Scenarios'!$B$5:$D$5))/$C$57)</x:f>
        <x:v>5254.590901644206</x:v>
      </x:c>
      <x:c r="G12" s="52" t="n">
        <x:f>D12*(('Nowcast Scenarios'!$D$5/SUM('Nowcast Scenarios'!$B$5:$D$5))/$D$57)</x:f>
        <x:v>651.5773548849431</x:v>
      </x:c>
      <x:c r="H12" s="18" t="str">
        <x:f>IF(MAX(E12:G12)=E12,"Liberal",IF(MAX(E12:G12)=F12,"PC","Green"))</x:f>
        <x:v>PC</x:v>
      </x:c>
      <x:c r="I12" s="52" t="n">
        <x:f>B12*(('Nowcast Scenarios'!$B$6/SUM('Nowcast Scenarios'!$B$6:$D$6))/$B$57)</x:f>
        <x:v>2074.2302921744667</x:v>
      </x:c>
      <x:c r="J12" s="52" t="n">
        <x:f>C12*(('Nowcast Scenarios'!$C$6/SUM('Nowcast Scenarios'!$B$6:$D$6))/$C$57)</x:f>
        <x:v>4634.354044553577</x:v>
      </x:c>
      <x:c r="K12" s="52" t="n">
        <x:f>D12*(('Nowcast Scenarios'!$D$6/SUM('Nowcast Scenarios'!$B$6:$D$6))/$D$57)</x:f>
        <x:v>738.857610645393</x:v>
      </x:c>
      <x:c r="L12" s="18" t="str">
        <x:f>IF(MAX(I12:K12)=I12,"Liberal",IF(MAX(I12:K12)=J12,"PC","Green"))</x:f>
        <x:v>PC</x:v>
      </x:c>
      <x:c r="M12" s="52" t="n">
        <x:f>B12*(('Nowcast Scenarios'!$B$7/SUM('Nowcast Scenarios'!$B$7:$D$7))/$B$57)</x:f>
        <x:v>2148.3099454664116</x:v>
      </x:c>
      <x:c r="N12" s="52" t="n">
        <x:f>C12*(('Nowcast Scenarios'!$C$7/SUM('Nowcast Scenarios'!$B$7:$D$7))/$C$57)</x:f>
        <x:v>4408.766440268429</x:v>
      </x:c>
      <x:c r="O12" s="52" t="n">
        <x:f>D12*(('Nowcast Scenarios'!$D$7/SUM('Nowcast Scenarios'!$B$7:$D$7))/$D$57)</x:f>
        <x:v>740.6819504247643</x:v>
      </x:c>
      <x:c r="P12" s="18" t="str">
        <x:f>IF(MAX(M12:O12)=M12,"Liberal",IF(MAX(M12:O12)=N12,"PC","Green"))</x:f>
        <x:v>PC</x:v>
      </x:c>
      <x:c r="Q12" s="52" t="n">
        <x:f>B12*(('Nowcast Scenarios'!$B$8/SUM('Nowcast Scenarios'!$B$8:$D$8))/$B$57)</x:f>
        <x:v>2070.1148563349066</x:v>
      </x:c>
      <x:c r="R12" s="52" t="n">
        <x:f>C12*(('Nowcast Scenarios'!$C$8/SUM('Nowcast Scenarios'!$B$8:$D$8))/$C$57)</x:f>
        <x:v>4710.806837050298</x:v>
      </x:c>
      <x:c r="S12" s="52" t="n">
        <x:f>D12*(('Nowcast Scenarios'!$D$8/SUM('Nowcast Scenarios'!$B$8:$D$8))/$D$57)</x:f>
        <x:v>714.9775571415948</x:v>
      </x:c>
      <x:c r="T12" s="18" t="str">
        <x:f>IF(MAX(Q12:S12)=Q12,"Liberal",IF(MAX(Q12:S12)=R12,"PC","Green"))</x:f>
        <x:v>PC</x:v>
      </x:c>
      <x:c r="U12" s="52" t="n">
        <x:f>B12*(('Nowcast Scenarios'!$B$9/SUM('Nowcast Scenarios'!$B$9:$D$9))/$B$57)</x:f>
        <x:v>1950.1893232632358</x:v>
      </x:c>
      <x:c r="V12" s="52" t="n">
        <x:f>C12*(('Nowcast Scenarios'!$C$9/SUM('Nowcast Scenarios'!$B$9:$D$9))/$C$57)</x:f>
        <x:v>5068.065386616208</x:v>
      </x:c>
      <x:c r="W12" s="52" t="n">
        <x:f>D12*(('Nowcast Scenarios'!$D$9/SUM('Nowcast Scenarios'!$B$9:$D$9))/$D$57)</x:f>
        <x:v>714.9775571415948</x:v>
      </x:c>
      <x:c r="X12" s="18" t="str">
        <x:f>IF(MAX(U12:W12)=U12,"Liberal",IF(MAX(U12:W12)=V12,"PC","Green"))</x:f>
        <x:v>PC</x:v>
      </x:c>
      <x:c r="Y12" s="52" t="n">
        <x:f>B12*(('Nowcast Scenarios'!$B$10/SUM('Nowcast Scenarios'!$B$10:$D$10))/$B$57)</x:f>
        <x:v>1588.493915519076</x:v>
      </x:c>
      <x:c r="Z12" s="52" t="n">
        <x:f>C12*(('Nowcast Scenarios'!$C$10/SUM('Nowcast Scenarios'!$B$10:$D$10))/$C$57)</x:f>
        <x:v>6145.557172106991</x:v>
      </x:c>
      <x:c r="AA12" s="52" t="n">
        <x:f>D12*(('Nowcast Scenarios'!$D$10/SUM('Nowcast Scenarios'!$B$10:$D$10))/$D$57)</x:f>
        <x:v>714.9775571415948</x:v>
      </x:c>
      <x:c r="AB12" s="18" t="str">
        <x:f>IF(MAX(Y12:AA12)=Y12,"Liberal",IF(MAX(Y12:AA12)=Z12,"PC","Green"))</x:f>
        <x:v>PC</x:v>
      </x:c>
      <x:c r="AC12" s="52" t="n">
        <x:f>B12*(('Nowcast Scenarios'!$B$11/SUM('Nowcast Scenarios'!$B$11:$D$11))/$B$57)</x:f>
        <x:v>1873.6959428508696</x:v>
      </x:c>
      <x:c r="AD12" s="52" t="n">
        <x:f>C12*(('Nowcast Scenarios'!$C$11/SUM('Nowcast Scenarios'!$B$11:$D$11))/$C$57)</x:f>
        <x:v>5295.939413419018</x:v>
      </x:c>
      <x:c r="AE12" s="52" t="n">
        <x:f>D12*(('Nowcast Scenarios'!$D$11/SUM('Nowcast Scenarios'!$B$11:$D$11))/$D$57)</x:f>
        <x:v>714.9775571415948</x:v>
      </x:c>
      <x:c r="AF12" s="18" t="str">
        <x:f>IF(MAX(AC12:AE12)=AC12,"Liberal",IF(MAX(AC12:AE12)=AD12,"PC","Green"))</x:f>
        <x:v>PC</x:v>
      </x:c>
      <x:c r="AG12" s="52" t="n">
        <x:f>B12*(('Nowcast Scenarios'!$B$12/SUM('Nowcast Scenarios'!$B$12:$D$12))/$B$57)</x:f>
        <x:v>1825.7257296222012</x:v>
      </x:c>
      <x:c r="AH12" s="52" t="n">
        <x:f>C12*(('Nowcast Scenarios'!$C$12/SUM('Nowcast Scenarios'!$B$12:$D$12))/$C$57)</x:f>
        <x:v>5438.842833245382</x:v>
      </x:c>
      <x:c r="AI12" s="52" t="n">
        <x:f>D12*(('Nowcast Scenarios'!$D$12/SUM('Nowcast Scenarios'!$B$12:$D$12))/$D$57)</x:f>
        <x:v>714.9775571415948</x:v>
      </x:c>
      <x:c r="AJ12" s="18" t="str">
        <x:f>IF(MAX(AG12:AI12)=AG12,"Liberal",IF(MAX(AG12:AI12)=AH12,"PC","Green"))</x:f>
        <x:v>PC</x:v>
      </x:c>
    </x:row>
    <x:row r="13">
      <x:c r="A13" s="18" t="str">
        <x:v>Champdoré-Irishtown</x:v>
      </x:c>
      <x:c r="B13" s="18" t="n">
        <x:v>3732</x:v>
      </x:c>
      <x:c r="C13" s="18" t="n">
        <x:v>2450</x:v>
      </x:c>
      <x:c r="D13" s="18" t="n">
        <x:v>743</x:v>
      </x:c>
      <x:c r="E13" s="52" t="n">
        <x:f>B13*(('Nowcast Scenarios'!$B$5/SUM('Nowcast Scenarios'!$B$5:$D$5))/$B$57)</x:f>
        <x:v>3397.9123478086717</x:v>
      </x:c>
      <x:c r="F13" s="52" t="n">
        <x:f>C13*(('Nowcast Scenarios'!$C$5/SUM('Nowcast Scenarios'!$B$5:$D$5))/$C$57)</x:f>
        <x:v>2785.319712035548</x:v>
      </x:c>
      <x:c r="G13" s="52" t="n">
        <x:f>D13*(('Nowcast Scenarios'!$D$5/SUM('Nowcast Scenarios'!$B$5:$D$5))/$D$57)</x:f>
        <x:v>717.2177402659448</x:v>
      </x:c>
      <x:c r="H13" s="18" t="str">
        <x:f>IF(MAX(E13:G13)=E13,"Liberal",IF(MAX(E13:G13)=F13,"PC","Green"))</x:f>
        <x:v>Liberal</x:v>
      </x:c>
      <x:c r="I13" s="52" t="n">
        <x:f>B13*(('Nowcast Scenarios'!$B$6/SUM('Nowcast Scenarios'!$B$6:$D$6))/$B$57)</x:f>
        <x:v>3624.0765217205567</x:v>
      </x:c>
      <x:c r="J13" s="52" t="n">
        <x:f>C13*(('Nowcast Scenarios'!$C$6/SUM('Nowcast Scenarios'!$B$6:$D$6))/$C$57)</x:f>
        <x:v>2456.548552392095</x:v>
      </x:c>
      <x:c r="K13" s="52" t="n">
        <x:f>D13*(('Nowcast Scenarios'!$D$6/SUM('Nowcast Scenarios'!$B$6:$D$6))/$D$57)</x:f>
        <x:v>813.2906736437437</x:v>
      </x:c>
      <x:c r="L13" s="18" t="str">
        <x:f>IF(MAX(I13:K13)=I13,"Liberal",IF(MAX(I13:K13)=J13,"PC","Green"))</x:f>
        <x:v>Liberal</x:v>
      </x:c>
      <x:c r="M13" s="52" t="n">
        <x:f>B13*(('Nowcast Scenarios'!$B$7/SUM('Nowcast Scenarios'!$B$7:$D$7))/$B$57)</x:f>
        <x:v>3753.507826067719</x:v>
      </x:c>
      <x:c r="N13" s="52" t="n">
        <x:f>C13*(('Nowcast Scenarios'!$C$7/SUM('Nowcast Scenarios'!$B$7:$D$7))/$C$57)</x:f>
        <x:v>2336.9705276195696</x:v>
      </x:c>
      <x:c r="O13" s="52" t="n">
        <x:f>D13*(('Nowcast Scenarios'!$D$7/SUM('Nowcast Scenarios'!$B$7:$D$7))/$D$57)</x:f>
        <x:v>815.2987987638517</x:v>
      </x:c>
      <x:c r="P13" s="18" t="str">
        <x:f>IF(MAX(M13:O13)=M13,"Liberal",IF(MAX(M13:O13)=N13,"PC","Green"))</x:f>
        <x:v>Liberal</x:v>
      </x:c>
      <x:c r="Q13" s="52" t="n">
        <x:f>B13*(('Nowcast Scenarios'!$B$8/SUM('Nowcast Scenarios'!$B$8:$D$8))/$B$57)</x:f>
        <x:v>3616.8860692143594</x:v>
      </x:c>
      <x:c r="R13" s="52" t="n">
        <x:f>C13*(('Nowcast Scenarios'!$C$8/SUM('Nowcast Scenarios'!$B$8:$D$8))/$C$57)</x:f>
        <x:v>2497.0741563767265</x:v>
      </x:c>
      <x:c r="S13" s="52" t="n">
        <x:f>D13*(('Nowcast Scenarios'!$D$8/SUM('Nowcast Scenarios'!$B$8:$D$8))/$D$57)</x:f>
        <x:v>787.0049258610444</x:v>
      </x:c>
      <x:c r="T13" s="18" t="str">
        <x:f>IF(MAX(Q13:S13)=Q13,"Liberal",IF(MAX(Q13:S13)=R13,"PC","Green"))</x:f>
        <x:v>Liberal</x:v>
      </x:c>
      <x:c r="U13" s="52" t="n">
        <x:f>B13*(('Nowcast Scenarios'!$B$9/SUM('Nowcast Scenarios'!$B$9:$D$9))/$B$57)</x:f>
        <x:v>3407.353255813856</x:v>
      </x:c>
      <x:c r="V13" s="52" t="n">
        <x:f>C13*(('Nowcast Scenarios'!$C$9/SUM('Nowcast Scenarios'!$B$9:$D$9))/$C$57)</x:f>
        <x:v>2686.4474680246017</x:v>
      </x:c>
      <x:c r="W13" s="52" t="n">
        <x:f>D13*(('Nowcast Scenarios'!$D$9/SUM('Nowcast Scenarios'!$B$9:$D$9))/$D$57)</x:f>
        <x:v>787.0049258610444</x:v>
      </x:c>
      <x:c r="X13" s="18" t="str">
        <x:f>IF(MAX(U13:W13)=U13,"Liberal",IF(MAX(U13:W13)=V13,"PC","Green"))</x:f>
        <x:v>Liberal</x:v>
      </x:c>
      <x:c r="Y13" s="52" t="n">
        <x:f>B13*(('Nowcast Scenarios'!$B$10/SUM('Nowcast Scenarios'!$B$10:$D$10))/$B$57)</x:f>
        <x:v>2775.402290597936</x:v>
      </x:c>
      <x:c r="Z13" s="52" t="n">
        <x:f>C13*(('Nowcast Scenarios'!$C$10/SUM('Nowcast Scenarios'!$B$10:$D$10))/$C$57)</x:f>
        <x:v>3257.5973759545927</x:v>
      </x:c>
      <x:c r="AA13" s="52" t="n">
        <x:f>D13*(('Nowcast Scenarios'!$D$10/SUM('Nowcast Scenarios'!$B$10:$D$10))/$D$57)</x:f>
        <x:v>787.0049258610444</x:v>
      </x:c>
      <x:c r="AB13" s="18" t="str">
        <x:f>IF(MAX(Y13:AA13)=Y13,"Liberal",IF(MAX(Y13:AA13)=Z13,"PC","Green"))</x:f>
        <x:v>PC</x:v>
      </x:c>
      <x:c r="AC13" s="52" t="n">
        <x:f>B13*(('Nowcast Scenarios'!$B$11/SUM('Nowcast Scenarios'!$B$11:$D$11))/$B$57)</x:f>
        <x:v>3273.704709138317</x:v>
      </x:c>
      <x:c r="AD13" s="52" t="n">
        <x:f>C13*(('Nowcast Scenarios'!$C$11/SUM('Nowcast Scenarios'!$B$11:$D$11))/$C$57)</x:f>
        <x:v>2807.2374649235385</x:v>
      </x:c>
      <x:c r="AE13" s="52" t="n">
        <x:f>D13*(('Nowcast Scenarios'!$D$11/SUM('Nowcast Scenarios'!$B$11:$D$11))/$D$57)</x:f>
        <x:v>787.0049258610444</x:v>
      </x:c>
      <x:c r="AF13" s="18" t="str">
        <x:f>IF(MAX(AC13:AE13)=AC13,"Liberal",IF(MAX(AC13:AE13)=AD13,"PC","Green"))</x:f>
        <x:v>Liberal</x:v>
      </x:c>
      <x:c r="AG13" s="52" t="n">
        <x:f>B13*(('Nowcast Scenarios'!$B$12/SUM('Nowcast Scenarios'!$B$12:$D$12))/$B$57)</x:f>
        <x:v>3189.891583778116</x:v>
      </x:c>
      <x:c r="AH13" s="52" t="n">
        <x:f>C13*(('Nowcast Scenarios'!$C$12/SUM('Nowcast Scenarios'!$B$12:$D$12))/$C$57)</x:f>
        <x:v>2882.9867895826887</x:v>
      </x:c>
      <x:c r="AI13" s="52" t="n">
        <x:f>D13*(('Nowcast Scenarios'!$D$12/SUM('Nowcast Scenarios'!$B$12:$D$12))/$D$57)</x:f>
        <x:v>787.0049258610444</x:v>
      </x:c>
      <x:c r="AJ13" s="18" t="str">
        <x:f>IF(MAX(AG13:AI13)=AG13,"Liberal",IF(MAX(AG13:AI13)=AH13,"PC","Green"))</x:f>
        <x:v>Liberal</x:v>
      </x:c>
    </x:row>
    <x:row r="14">
      <x:c r="A14" s="18" t="str">
        <x:v>Dieppe-Memramcook</x:v>
      </x:c>
      <x:c r="B14" s="18" t="n">
        <x:v>5600</x:v>
      </x:c>
      <x:c r="C14" s="18" t="n">
        <x:v>1311</x:v>
      </x:c>
      <x:c r="D14" s="18" t="n">
        <x:v>1531</x:v>
      </x:c>
      <x:c r="E14" s="52" t="n">
        <x:f>B14*(('Nowcast Scenarios'!$B$5/SUM('Nowcast Scenarios'!$B$5:$D$5))/$B$57)</x:f>
        <x:v>5098.68948224238</x:v>
      </x:c>
      <x:c r="F14" s="52" t="n">
        <x:f>C14*(('Nowcast Scenarios'!$C$5/SUM('Nowcast Scenarios'!$B$5:$D$5))/$C$57)</x:f>
        <x:v>1490.4302622361647</x:v>
      </x:c>
      <x:c r="G14" s="52" t="n">
        <x:f>D14*(('Nowcast Scenarios'!$D$5/SUM('Nowcast Scenarios'!$B$5:$D$5))/$D$57)</x:f>
        <x:v>1477.8739708575524</x:v>
      </x:c>
      <x:c r="H14" s="18" t="str">
        <x:f>IF(MAX(E14:G14)=E14,"Liberal",IF(MAX(E14:G14)=F14,"PC","Green"))</x:f>
        <x:v>Liberal</x:v>
      </x:c>
      <x:c r="I14" s="52" t="n">
        <x:f>B14*(('Nowcast Scenarios'!$B$6/SUM('Nowcast Scenarios'!$B$6:$D$6))/$B$57)</x:f>
        <x:v>5438.056945775755</x:v>
      </x:c>
      <x:c r="J14" s="52" t="n">
        <x:f>C14*(('Nowcast Scenarios'!$C$6/SUM('Nowcast Scenarios'!$B$6:$D$6))/$C$57)</x:f>
        <x:v>1314.5041437494026</x:v>
      </x:c>
      <x:c r="K14" s="52" t="n">
        <x:f>D14*(('Nowcast Scenarios'!$D$6/SUM('Nowcast Scenarios'!$B$6:$D$6))/$D$57)</x:f>
        <x:v>1675.8385213305137</x:v>
      </x:c>
      <x:c r="L14" s="18" t="str">
        <x:f>IF(MAX(I14:K14)=I14,"Liberal",IF(MAX(I14:K14)=J14,"PC","Green"))</x:f>
        <x:v>Liberal</x:v>
      </x:c>
      <x:c r="M14" s="52" t="n">
        <x:f>B14*(('Nowcast Scenarios'!$B$7/SUM('Nowcast Scenarios'!$B$7:$D$7))/$B$57)</x:f>
        <x:v>5632.273265267746</x:v>
      </x:c>
      <x:c r="N14" s="52" t="n">
        <x:f>C14*(('Nowcast Scenarios'!$C$7/SUM('Nowcast Scenarios'!$B$7:$D$7))/$C$57)</x:f>
        <x:v>1250.517698656839</x:v>
      </x:c>
      <x:c r="O14" s="52" t="n">
        <x:f>D14*(('Nowcast Scenarios'!$D$7/SUM('Nowcast Scenarios'!$B$7:$D$7))/$D$57)</x:f>
        <x:v>1679.9763942226878</x:v>
      </x:c>
      <x:c r="P14" s="18" t="str">
        <x:f>IF(MAX(M14:O14)=M14,"Liberal",IF(MAX(M14:O14)=N14,"PC","Green"))</x:f>
        <x:v>Liberal</x:v>
      </x:c>
      <x:c r="Q14" s="52" t="n">
        <x:f>B14*(('Nowcast Scenarios'!$B$8/SUM('Nowcast Scenarios'!$B$8:$D$8))/$B$57)</x:f>
        <x:v>5427.267413612115</x:v>
      </x:c>
      <x:c r="R14" s="52" t="n">
        <x:f>C14*(('Nowcast Scenarios'!$C$8/SUM('Nowcast Scenarios'!$B$8:$D$8))/$C$57)</x:f>
        <x:v>1336.1894771468933</x:v>
      </x:c>
      <x:c r="S14" s="52" t="n">
        <x:f>D14*(('Nowcast Scenarios'!$D$8/SUM('Nowcast Scenarios'!$B$8:$D$8))/$D$57)</x:f>
        <x:v>1621.6750221981952</x:v>
      </x:c>
      <x:c r="T14" s="18" t="str">
        <x:f>IF(MAX(Q14:S14)=Q14,"Liberal",IF(MAX(Q14:S14)=R14,"PC","Green"))</x:f>
        <x:v>Liberal</x:v>
      </x:c>
      <x:c r="U14" s="52" t="n">
        <x:f>B14*(('Nowcast Scenarios'!$B$9/SUM('Nowcast Scenarios'!$B$9:$D$9))/$B$57)</x:f>
        <x:v>5112.855903686386</x:v>
      </x:c>
      <x:c r="V14" s="52" t="n">
        <x:f>C14*(('Nowcast Scenarios'!$C$9/SUM('Nowcast Scenarios'!$B$9:$D$9))/$C$57)</x:f>
        <x:v>1437.5235226858176</x:v>
      </x:c>
      <x:c r="W14" s="52" t="n">
        <x:f>D14*(('Nowcast Scenarios'!$D$9/SUM('Nowcast Scenarios'!$B$9:$D$9))/$D$57)</x:f>
        <x:v>1621.6750221981952</x:v>
      </x:c>
      <x:c r="X14" s="18" t="str">
        <x:f>IF(MAX(U14:W14)=U14,"Liberal",IF(MAX(U14:W14)=V14,"PC","Green"))</x:f>
        <x:v>Liberal</x:v>
      </x:c>
      <x:c r="Y14" s="52" t="n">
        <x:f>B14*(('Nowcast Scenarios'!$B$10/SUM('Nowcast Scenarios'!$B$10:$D$10))/$B$57)</x:f>
        <x:v>4164.590789750386</x:v>
      </x:c>
      <x:c r="Z14" s="52" t="n">
        <x:f>C14*(('Nowcast Scenarios'!$C$10/SUM('Nowcast Scenarios'!$B$10:$D$10))/$C$57)</x:f>
        <x:v>1743.1470040312129</x:v>
      </x:c>
      <x:c r="AA14" s="52" t="n">
        <x:f>D14*(('Nowcast Scenarios'!$D$10/SUM('Nowcast Scenarios'!$B$10:$D$10))/$D$57)</x:f>
        <x:v>1621.6750221981952</x:v>
      </x:c>
      <x:c r="AB14" s="18" t="str">
        <x:f>IF(MAX(Y14:AA14)=Y14,"Liberal",IF(MAX(Y14:AA14)=Z14,"PC","Green"))</x:f>
        <x:v>Liberal</x:v>
      </x:c>
      <x:c r="AC14" s="52" t="n">
        <x:f>B14*(('Nowcast Scenarios'!$B$11/SUM('Nowcast Scenarios'!$B$11:$D$11))/$B$57)</x:f>
        <x:v>4912.31146065771</x:v>
      </x:c>
      <x:c r="AD14" s="52" t="n">
        <x:f>C14*(('Nowcast Scenarios'!$C$11/SUM('Nowcast Scenarios'!$B$11:$D$11))/$C$57)</x:f>
        <x:v>1502.1584965366362</x:v>
      </x:c>
      <x:c r="AE14" s="52" t="n">
        <x:f>D14*(('Nowcast Scenarios'!$D$11/SUM('Nowcast Scenarios'!$B$11:$D$11))/$D$57)</x:f>
        <x:v>1621.6750221981952</x:v>
      </x:c>
      <x:c r="AF14" s="18" t="str">
        <x:f>IF(MAX(AC14:AE14)=AC14,"Liberal",IF(MAX(AC14:AE14)=AD14,"PC","Green"))</x:f>
        <x:v>Liberal</x:v>
      </x:c>
      <x:c r="AG14" s="52" t="n">
        <x:f>B14*(('Nowcast Scenarios'!$B$12/SUM('Nowcast Scenarios'!$B$12:$D$12))/$B$57)</x:f>
        <x:v>4786.546856687419</x:v>
      </x:c>
      <x:c r="AH14" s="52" t="n">
        <x:f>C14*(('Nowcast Scenarios'!$C$12/SUM('Nowcast Scenarios'!$B$12:$D$12))/$C$57)</x:f>
        <x:v>1542.6921147522062</x:v>
      </x:c>
      <x:c r="AI14" s="52" t="n">
        <x:f>D14*(('Nowcast Scenarios'!$D$12/SUM('Nowcast Scenarios'!$B$12:$D$12))/$D$57)</x:f>
        <x:v>1621.6750221981952</x:v>
      </x:c>
      <x:c r="AJ14" s="18" t="str">
        <x:f>IF(MAX(AG14:AI14)=AG14,"Liberal",IF(MAX(AG14:AI14)=AH14,"PC","Green"))</x:f>
        <x:v>Liberal</x:v>
      </x:c>
    </x:row>
    <x:row r="15">
      <x:c r="A15" s="18" t="str">
        <x:v>Edmundston-Vallée-des-Rivières</x:v>
      </x:c>
      <x:c r="B15" s="18" t="n">
        <x:v>5573</x:v>
      </x:c>
      <x:c r="C15" s="18" t="n">
        <x:v>1049</x:v>
      </x:c>
      <x:c r="D15" s="18" t="n">
        <x:v>0</x:v>
      </x:c>
      <x:c r="E15" s="52" t="n">
        <x:f>B15*(('Nowcast Scenarios'!$B$5/SUM('Nowcast Scenarios'!$B$5:$D$5))/$B$57)</x:f>
        <x:v>5074.106515095854</x:v>
      </x:c>
      <x:c r="F15" s="52" t="n">
        <x:f>C15*(('Nowcast Scenarios'!$C$5/SUM('Nowcast Scenarios'!$B$5:$D$5))/$C$57)</x:f>
        <x:v>1192.5715828266489</x:v>
      </x:c>
      <x:c r="G15" s="52" t="n">
        <x:f>D15*(('Nowcast Scenarios'!$D$5/SUM('Nowcast Scenarios'!$B$5:$D$5))/$D$57)</x:f>
        <x:v>0</x:v>
      </x:c>
      <x:c r="H15" s="18" t="str">
        <x:f>IF(MAX(E15:G15)=E15,"Liberal",IF(MAX(E15:G15)=F15,"PC","Green"))</x:f>
        <x:v>Liberal</x:v>
      </x:c>
      <x:c r="I15" s="52" t="n">
        <x:f>B15*(('Nowcast Scenarios'!$B$6/SUM('Nowcast Scenarios'!$B$6:$D$6))/$B$57)</x:f>
        <x:v>5411.837742644336</x:v>
      </x:c>
      <x:c r="J15" s="52" t="n">
        <x:f>C15*(('Nowcast Scenarios'!$C$6/SUM('Nowcast Scenarios'!$B$6:$D$6))/$C$57)</x:f>
        <x:v>1051.8038495752276</x:v>
      </x:c>
      <x:c r="K15" s="52" t="n">
        <x:f>D15*(('Nowcast Scenarios'!$D$6/SUM('Nowcast Scenarios'!$B$6:$D$6))/$D$57)</x:f>
        <x:v>0</x:v>
      </x:c>
      <x:c r="L15" s="18" t="str">
        <x:f>IF(MAX(I15:K15)=I15,"Liberal",IF(MAX(I15:K15)=J15,"PC","Green"))</x:f>
        <x:v>Liberal</x:v>
      </x:c>
      <x:c r="M15" s="52" t="n">
        <x:f>B15*(('Nowcast Scenarios'!$B$7/SUM('Nowcast Scenarios'!$B$7:$D$7))/$B$57)</x:f>
        <x:v>5605.1176620244905</x:v>
      </x:c>
      <x:c r="N15" s="52" t="n">
        <x:f>C15*(('Nowcast Scenarios'!$C$7/SUM('Nowcast Scenarios'!$B$7:$D$7))/$C$57)</x:f>
        <x:v>1000.6049320297667</x:v>
      </x:c>
      <x:c r="O15" s="52" t="n">
        <x:f>D15*(('Nowcast Scenarios'!$D$7/SUM('Nowcast Scenarios'!$B$7:$D$7))/$D$57)</x:f>
        <x:v>0</x:v>
      </x:c>
      <x:c r="P15" s="18" t="str">
        <x:f>IF(MAX(M15:O15)=M15,"Liberal",IF(MAX(M15:O15)=N15,"PC","Green"))</x:f>
        <x:v>Liberal</x:v>
      </x:c>
      <x:c r="Q15" s="52" t="n">
        <x:f>B15*(('Nowcast Scenarios'!$B$8/SUM('Nowcast Scenarios'!$B$8:$D$8))/$B$57)</x:f>
        <x:v>5401.100231439343</x:v>
      </x:c>
      <x:c r="R15" s="52" t="n">
        <x:f>C15*(('Nowcast Scenarios'!$C$8/SUM('Nowcast Scenarios'!$B$8:$D$8))/$C$57)</x:f>
        <x:v>1069.1554245057903</x:v>
      </x:c>
      <x:c r="S15" s="52" t="n">
        <x:f>D15*(('Nowcast Scenarios'!$D$8/SUM('Nowcast Scenarios'!$B$8:$D$8))/$D$57)</x:f>
        <x:v>0</x:v>
      </x:c>
      <x:c r="T15" s="18" t="str">
        <x:f>IF(MAX(Q15:S15)=Q15,"Liberal",IF(MAX(Q15:S15)=R15,"PC","Green"))</x:f>
        <x:v>Liberal</x:v>
      </x:c>
      <x:c r="U15" s="52" t="n">
        <x:f>B15*(('Nowcast Scenarios'!$B$9/SUM('Nowcast Scenarios'!$B$9:$D$9))/$B$57)</x:f>
        <x:v>5088.204634150755</x:v>
      </x:c>
      <x:c r="V15" s="52" t="n">
        <x:f>C15*(('Nowcast Scenarios'!$C$9/SUM('Nowcast Scenarios'!$B$9:$D$9))/$C$57)</x:f>
        <x:v>1150.2381199827785</x:v>
      </x:c>
      <x:c r="W15" s="52" t="n">
        <x:f>D15*(('Nowcast Scenarios'!$D$9/SUM('Nowcast Scenarios'!$B$9:$D$9))/$D$57)</x:f>
        <x:v>0</x:v>
      </x:c>
      <x:c r="X15" s="18" t="str">
        <x:f>IF(MAX(U15:W15)=U15,"Liberal",IF(MAX(U15:W15)=V15,"PC","Green"))</x:f>
        <x:v>Liberal</x:v>
      </x:c>
      <x:c r="Y15" s="52" t="n">
        <x:f>B15*(('Nowcast Scenarios'!$B$10/SUM('Nowcast Scenarios'!$B$10:$D$10))/$B$57)</x:f>
        <x:v>4144.511512728375</x:v>
      </x:c>
      <x:c r="Z15" s="52" t="n">
        <x:f>C15*(('Nowcast Scenarios'!$C$10/SUM('Nowcast Scenarios'!$B$10:$D$10))/$C$57)</x:f>
        <x:v>1394.7835295413747</x:v>
      </x:c>
      <x:c r="AA15" s="52" t="n">
        <x:f>D15*(('Nowcast Scenarios'!$D$10/SUM('Nowcast Scenarios'!$B$10:$D$10))/$D$57)</x:f>
        <x:v>0</x:v>
      </x:c>
      <x:c r="AB15" s="18" t="str">
        <x:f>IF(MAX(Y15:AA15)=Y15,"Liberal",IF(MAX(Y15:AA15)=Z15,"PC","Green"))</x:f>
        <x:v>Liberal</x:v>
      </x:c>
      <x:c r="AC15" s="52" t="n">
        <x:f>B15*(('Nowcast Scenarios'!$B$11/SUM('Nowcast Scenarios'!$B$11:$D$11))/$B$57)</x:f>
        <x:v>4888.627101829539</x:v>
      </x:c>
      <x:c r="AD15" s="52" t="n">
        <x:f>C15*(('Nowcast Scenarios'!$C$11/SUM('Nowcast Scenarios'!$B$11:$D$11))/$C$57)</x:f>
        <x:v>1201.9559594713435</x:v>
      </x:c>
      <x:c r="AE15" s="52" t="n">
        <x:f>D15*(('Nowcast Scenarios'!$D$11/SUM('Nowcast Scenarios'!$B$11:$D$11))/$D$57)</x:f>
        <x:v>0</x:v>
      </x:c>
      <x:c r="AF15" s="18" t="str">
        <x:f>IF(MAX(AC15:AE15)=AC15,"Liberal",IF(MAX(AC15:AE15)=AD15,"PC","Green"))</x:f>
        <x:v>Liberal</x:v>
      </x:c>
      <x:c r="AG15" s="52" t="n">
        <x:f>B15*(('Nowcast Scenarios'!$B$12/SUM('Nowcast Scenarios'!$B$12:$D$12))/$B$57)</x:f>
        <x:v>4763.468862914105</x:v>
      </x:c>
      <x:c r="AH15" s="52" t="n">
        <x:f>C15*(('Nowcast Scenarios'!$C$12/SUM('Nowcast Scenarios'!$B$12:$D$12))/$C$57)</x:f>
        <x:v>1234.389037662139</x:v>
      </x:c>
      <x:c r="AI15" s="52" t="n">
        <x:f>D15*(('Nowcast Scenarios'!$D$12/SUM('Nowcast Scenarios'!$B$12:$D$12))/$D$57)</x:f>
        <x:v>0</x:v>
      </x:c>
      <x:c r="AJ15" s="18" t="str">
        <x:f>IF(MAX(AG15:AI15)=AG15,"Liberal",IF(MAX(AG15:AI15)=AH15,"PC","Green"))</x:f>
        <x:v>Liberal</x:v>
      </x:c>
    </x:row>
    <x:row r="16">
      <x:c r="A16" s="18" t="str">
        <x:v>Fredericton-Lincoln</x:v>
      </x:c>
      <x:c r="B16" s="18" t="n">
        <x:v>2244</x:v>
      </x:c>
      <x:c r="C16" s="18" t="n">
        <x:v>2307</x:v>
      </x:c>
      <x:c r="D16" s="18" t="n">
        <x:v>3646</x:v>
      </x:c>
      <x:c r="E16" s="52" t="n">
        <x:f>B16*(('Nowcast Scenarios'!$B$5/SUM('Nowcast Scenarios'!$B$5:$D$5))/$B$57)</x:f>
        <x:v>2043.1177139556967</x:v>
      </x:c>
      <x:c r="F16" s="52" t="n">
        <x:f>C16*(('Nowcast Scenarios'!$C$5/SUM('Nowcast Scenarios'!$B$5:$D$5))/$C$57)</x:f>
        <x:v>2622.747990067759</x:v>
      </x:c>
      <x:c r="G16" s="52" t="n">
        <x:f>D16*(('Nowcast Scenarios'!$D$5/SUM('Nowcast Scenarios'!$B$5:$D$5))/$D$57)</x:f>
        <x:v>3519.483016163708</x:v>
      </x:c>
      <x:c r="H16" s="18" t="str">
        <x:f>IF(MAX(E16:G16)=E16,"Liberal",IF(MAX(E16:G16)=F16,"PC","Green"))</x:f>
        <x:v>Green</x:v>
      </x:c>
      <x:c r="I16" s="52" t="n">
        <x:f>B16*(('Nowcast Scenarios'!$B$6/SUM('Nowcast Scenarios'!$B$6:$D$6))/$B$57)</x:f>
        <x:v>2179.107104700142</x:v>
      </x:c>
      <x:c r="J16" s="52" t="n">
        <x:f>C16*(('Nowcast Scenarios'!$C$6/SUM('Nowcast Scenarios'!$B$6:$D$6))/$C$57)</x:f>
        <x:v>2313.166330762679</x:v>
      </x:c>
      <x:c r="K16" s="52" t="n">
        <x:f>D16*(('Nowcast Scenarios'!$D$6/SUM('Nowcast Scenarios'!$B$6:$D$6))/$D$57)</x:f>
        <x:v>3990.9257013527454</x:v>
      </x:c>
      <x:c r="L16" s="18" t="str">
        <x:f>IF(MAX(I16:K16)=I16,"Liberal",IF(MAX(I16:K16)=J16,"PC","Green"))</x:f>
        <x:v>Green</x:v>
      </x:c>
      <x:c r="M16" s="52" t="n">
        <x:f>B16*(('Nowcast Scenarios'!$B$7/SUM('Nowcast Scenarios'!$B$7:$D$7))/$B$57)</x:f>
        <x:v>2256.9323584394324</x:v>
      </x:c>
      <x:c r="N16" s="52" t="n">
        <x:f>C16*(('Nowcast Scenarios'!$C$7/SUM('Nowcast Scenarios'!$B$7:$D$7))/$C$57)</x:f>
        <x:v>2200.5677580483048</x:v>
      </x:c>
      <x:c r="O16" s="52" t="n">
        <x:f>D16*(('Nowcast Scenarios'!$D$7/SUM('Nowcast Scenarios'!$B$7:$D$7))/$D$57)</x:f>
        <x:v>4000.779838886949</x:v>
      </x:c>
      <x:c r="P16" s="18" t="str">
        <x:f>IF(MAX(M16:O16)=M16,"Liberal",IF(MAX(M16:O16)=N16,"PC","Green"))</x:f>
        <x:v>Green</x:v>
      </x:c>
      <x:c r="Q16" s="52" t="n">
        <x:f>B16*(('Nowcast Scenarios'!$B$8/SUM('Nowcast Scenarios'!$B$8:$D$8))/$B$57)</x:f>
        <x:v>2174.7835850259976</x:v>
      </x:c>
      <x:c r="R16" s="52" t="n">
        <x:f>C16*(('Nowcast Scenarios'!$C$8/SUM('Nowcast Scenarios'!$B$8:$D$8))/$C$57)</x:f>
        <x:v>2351.326562759636</x:v>
      </x:c>
      <x:c r="S16" s="52" t="n">
        <x:f>D16*(('Nowcast Scenarios'!$D$8/SUM('Nowcast Scenarios'!$B$8:$D$8))/$D$57)</x:f>
        <x:v>3861.9380345751924</x:v>
      </x:c>
      <x:c r="T16" s="18" t="str">
        <x:f>IF(MAX(Q16:S16)=Q16,"Liberal",IF(MAX(Q16:S16)=R16,"PC","Green"))</x:f>
        <x:v>Green</x:v>
      </x:c>
      <x:c r="U16" s="52" t="n">
        <x:f>B16*(('Nowcast Scenarios'!$B$9/SUM('Nowcast Scenarios'!$B$9:$D$9))/$B$57)</x:f>
        <x:v>2048.794401405759</x:v>
      </x:c>
      <x:c r="V16" s="52" t="n">
        <x:f>C16*(('Nowcast Scenarios'!$C$9/SUM('Nowcast Scenarios'!$B$9:$D$9))/$C$57)</x:f>
        <x:v>2529.646656625615</x:v>
      </x:c>
      <x:c r="W16" s="52" t="n">
        <x:f>D16*(('Nowcast Scenarios'!$D$9/SUM('Nowcast Scenarios'!$B$9:$D$9))/$D$57)</x:f>
        <x:v>3861.9380345751924</x:v>
      </x:c>
      <x:c r="X16" s="18" t="str">
        <x:f>IF(MAX(U16:W16)=U16,"Liberal",IF(MAX(U16:W16)=V16,"PC","Green"))</x:f>
        <x:v>Green</x:v>
      </x:c>
      <x:c r="Y16" s="52" t="n">
        <x:f>B16*(('Nowcast Scenarios'!$B$10/SUM('Nowcast Scenarios'!$B$10:$D$10))/$B$57)</x:f>
        <x:v>1668.811023607119</x:v>
      </x:c>
      <x:c r="Z16" s="52" t="n">
        <x:f>C16*(('Nowcast Scenarios'!$C$10/SUM('Nowcast Scenarios'!$B$10:$D$10))/$C$57)</x:f>
        <x:v>3067.4600597254066</x:v>
      </x:c>
      <x:c r="AA16" s="52" t="n">
        <x:f>D16*(('Nowcast Scenarios'!$D$10/SUM('Nowcast Scenarios'!$B$10:$D$10))/$D$57)</x:f>
        <x:v>3861.9380345751924</x:v>
      </x:c>
      <x:c r="AB16" s="18" t="str">
        <x:f>IF(MAX(Y16:AA16)=Y16,"Liberal",IF(MAX(Y16:AA16)=Z16,"PC","Green"))</x:f>
        <x:v>Green</x:v>
      </x:c>
      <x:c r="AC16" s="52" t="n">
        <x:f>B16*(('Nowcast Scenarios'!$B$11/SUM('Nowcast Scenarios'!$B$11:$D$11))/$B$57)</x:f>
        <x:v>1968.433378163554</x:v>
      </x:c>
      <x:c r="AD16" s="52" t="n">
        <x:f>C16*(('Nowcast Scenarios'!$C$11/SUM('Nowcast Scenarios'!$B$11:$D$11))/$C$57)</x:f>
        <x:v>2643.3864618688176</x:v>
      </x:c>
      <x:c r="AE16" s="52" t="n">
        <x:f>D16*(('Nowcast Scenarios'!$D$11/SUM('Nowcast Scenarios'!$B$11:$D$11))/$D$57)</x:f>
        <x:v>3861.9380345751924</x:v>
      </x:c>
      <x:c r="AF16" s="18" t="str">
        <x:f>IF(MAX(AC16:AE16)=AC16,"Liberal",IF(MAX(AC16:AE16)=AD16,"PC","Green"))</x:f>
        <x:v>Green</x:v>
      </x:c>
      <x:c r="AG16" s="52" t="n">
        <x:f>B16*(('Nowcast Scenarios'!$B$12/SUM('Nowcast Scenarios'!$B$12:$D$12))/$B$57)</x:f>
        <x:v>1918.0377047154586</x:v>
      </x:c>
      <x:c r="AH16" s="52" t="n">
        <x:f>C16*(('Nowcast Scenarios'!$C$12/SUM('Nowcast Scenarios'!$B$12:$D$12))/$C$57)</x:f>
        <x:v>2714.7144994152095</x:v>
      </x:c>
      <x:c r="AI16" s="52" t="n">
        <x:f>D16*(('Nowcast Scenarios'!$D$12/SUM('Nowcast Scenarios'!$B$12:$D$12))/$D$57)</x:f>
        <x:v>3861.9380345751924</x:v>
      </x:c>
      <x:c r="AJ16" s="18" t="str">
        <x:f>IF(MAX(AG16:AI16)=AG16,"Liberal",IF(MAX(AG16:AI16)=AH16,"PC","Green"))</x:f>
        <x:v>Green</x:v>
      </x:c>
    </x:row>
    <x:row r="17">
      <x:c r="A17" s="18" t="str">
        <x:v>Fredericton North</x:v>
      </x:c>
      <x:c r="B17" s="18" t="n">
        <x:v>4130</x:v>
      </x:c>
      <x:c r="C17" s="18" t="n">
        <x:v>2753</x:v>
      </x:c>
      <x:c r="D17" s="18" t="n">
        <x:v>922</x:v>
      </x:c>
      <x:c r="E17" s="52" t="n">
        <x:f>B17*(('Nowcast Scenarios'!$B$5/SUM('Nowcast Scenarios'!$B$5:$D$5))/$B$57)</x:f>
        <x:v>3760.2834931537554</x:v>
      </x:c>
      <x:c r="F17" s="52" t="n">
        <x:f>C17*(('Nowcast Scenarios'!$C$5/SUM('Nowcast Scenarios'!$B$5:$D$5))/$C$57)</x:f>
        <x:v>3129.789864177087</x:v>
      </x:c>
      <x:c r="G17" s="52" t="n">
        <x:f>D17*(('Nowcast Scenarios'!$D$5/SUM('Nowcast Scenarios'!$B$5:$D$5))/$D$57)</x:f>
        <x:v>890.0064017835816</x:v>
      </x:c>
      <x:c r="H17" s="18" t="str">
        <x:f>IF(MAX(E17:G17)=E17,"Liberal",IF(MAX(E17:G17)=F17,"PC","Green"))</x:f>
        <x:v>Liberal</x:v>
      </x:c>
      <x:c r="I17" s="52" t="n">
        <x:f>B17*(('Nowcast Scenarios'!$B$6/SUM('Nowcast Scenarios'!$B$6:$D$6))/$B$57)</x:f>
        <x:v>4010.5669975096193</x:v>
      </x:c>
      <x:c r="J17" s="52" t="n">
        <x:f>C17*(('Nowcast Scenarios'!$C$6/SUM('Nowcast Scenarios'!$B$6:$D$6))/$C$57)</x:f>
        <x:v>2760.358434585893</x:v>
      </x:c>
      <x:c r="K17" s="52" t="n">
        <x:f>D17*(('Nowcast Scenarios'!$D$6/SUM('Nowcast Scenarios'!$B$6:$D$6))/$D$57)</x:f>
        <x:v>1009.2247659482257</x:v>
      </x:c>
      <x:c r="L17" s="18" t="str">
        <x:f>IF(MAX(I17:K17)=I17,"Liberal",IF(MAX(I17:K17)=J17,"PC","Green"))</x:f>
        <x:v>Liberal</x:v>
      </x:c>
      <x:c r="M17" s="52" t="n">
        <x:f>B17*(('Nowcast Scenarios'!$B$7/SUM('Nowcast Scenarios'!$B$7:$D$7))/$B$57)</x:f>
        <x:v>4153.8015331349625</x:v>
      </x:c>
      <x:c r="N17" s="52" t="n">
        <x:f>C17*(('Nowcast Scenarios'!$C$7/SUM('Nowcast Scenarios'!$B$7:$D$7))/$C$57)</x:f>
        <x:v>2625.991780627214</x:v>
      </x:c>
      <x:c r="O17" s="52" t="n">
        <x:f>D17*(('Nowcast Scenarios'!$D$7/SUM('Nowcast Scenarios'!$B$7:$D$7))/$D$57)</x:f>
        <x:v>1011.716678950567</x:v>
      </x:c>
      <x:c r="P17" s="18" t="str">
        <x:f>IF(MAX(M17:O17)=M17,"Liberal",IF(MAX(M17:O17)=N17,"PC","Green"))</x:f>
        <x:v>Liberal</x:v>
      </x:c>
      <x:c r="Q17" s="52" t="n">
        <x:f>B17*(('Nowcast Scenarios'!$B$8/SUM('Nowcast Scenarios'!$B$8:$D$8))/$B$57)</x:f>
        <x:v>4002.609717538935</x:v>
      </x:c>
      <x:c r="R17" s="52" t="n">
        <x:f>C17*(('Nowcast Scenarios'!$C$8/SUM('Nowcast Scenarios'!$B$8:$D$8))/$C$57)</x:f>
        <x:v>2805.895980614338</x:v>
      </x:c>
      <x:c r="S17" s="52" t="n">
        <x:f>D17*(('Nowcast Scenarios'!$D$8/SUM('Nowcast Scenarios'!$B$8:$D$8))/$D$57)</x:f>
        <x:v>976.6063817548895</x:v>
      </x:c>
      <x:c r="T17" s="18" t="str">
        <x:f>IF(MAX(Q17:S17)=Q17,"Liberal",IF(MAX(Q17:S17)=R17,"PC","Green"))</x:f>
        <x:v>Liberal</x:v>
      </x:c>
      <x:c r="U17" s="52" t="n">
        <x:f>B17*(('Nowcast Scenarios'!$B$9/SUM('Nowcast Scenarios'!$B$9:$D$9))/$B$57)</x:f>
        <x:v>3770.7312289687097</x:v>
      </x:c>
      <x:c r="V17" s="52" t="n">
        <x:f>C17*(('Nowcast Scenarios'!$C$9/SUM('Nowcast Scenarios'!$B$9:$D$9))/$C$57)</x:f>
        <x:v>3018.6897467231547</x:v>
      </x:c>
      <x:c r="W17" s="52" t="n">
        <x:f>D17*(('Nowcast Scenarios'!$D$9/SUM('Nowcast Scenarios'!$B$9:$D$9))/$D$57)</x:f>
        <x:v>976.6063817548895</x:v>
      </x:c>
      <x:c r="X17" s="18" t="str">
        <x:f>IF(MAX(U17:W17)=U17,"Liberal",IF(MAX(U17:W17)=V17,"PC","Green"))</x:f>
        <x:v>Liberal</x:v>
      </x:c>
      <x:c r="Y17" s="52" t="n">
        <x:f>B17*(('Nowcast Scenarios'!$B$10/SUM('Nowcast Scenarios'!$B$10:$D$10))/$B$57)</x:f>
        <x:v>3071.3857074409098</x:v>
      </x:c>
      <x:c r="Z17" s="52" t="n">
        <x:f>C17*(('Nowcast Scenarios'!$C$10/SUM('Nowcast Scenarios'!$B$10:$D$10))/$C$57)</x:f>
        <x:v>3660.475745307345</x:v>
      </x:c>
      <x:c r="AA17" s="52" t="n">
        <x:f>D17*(('Nowcast Scenarios'!$D$10/SUM('Nowcast Scenarios'!$B$10:$D$10))/$D$57)</x:f>
        <x:v>976.6063817548895</x:v>
      </x:c>
      <x:c r="AB17" s="18" t="str">
        <x:f>IF(MAX(Y17:AA17)=Y17,"Liberal",IF(MAX(Y17:AA17)=Z17,"PC","Green"))</x:f>
        <x:v>PC</x:v>
      </x:c>
      <x:c r="AC17" s="52" t="n">
        <x:f>B17*(('Nowcast Scenarios'!$B$11/SUM('Nowcast Scenarios'!$B$11:$D$11))/$B$57)</x:f>
        <x:v>3622.8297022350616</x:v>
      </x:c>
      <x:c r="AD17" s="52" t="n">
        <x:f>C17*(('Nowcast Scenarios'!$C$11/SUM('Nowcast Scenarios'!$B$11:$D$11))/$C$57)</x:f>
        <x:v>3154.418261605919</x:v>
      </x:c>
      <x:c r="AE17" s="52" t="n">
        <x:f>D17*(('Nowcast Scenarios'!$D$11/SUM('Nowcast Scenarios'!$B$11:$D$11))/$D$57)</x:f>
        <x:v>976.6063817548895</x:v>
      </x:c>
      <x:c r="AF17" s="18" t="str">
        <x:f>IF(MAX(AC17:AE17)=AC17,"Liberal",IF(MAX(AC17:AE17)=AD17,"PC","Green"))</x:f>
        <x:v>Liberal</x:v>
      </x:c>
      <x:c r="AG17" s="52" t="n">
        <x:f>B17*(('Nowcast Scenarios'!$B$12/SUM('Nowcast Scenarios'!$B$12:$D$12))/$B$57)</x:f>
        <x:v>3530.078306806972</x:v>
      </x:c>
      <x:c r="AH17" s="52" t="n">
        <x:f>C17*(('Nowcast Scenarios'!$C$12/SUM('Nowcast Scenarios'!$B$12:$D$12))/$C$57)</x:f>
        <x:v>3239.535768049446</x:v>
      </x:c>
      <x:c r="AI17" s="52" t="n">
        <x:f>D17*(('Nowcast Scenarios'!$D$12/SUM('Nowcast Scenarios'!$B$12:$D$12))/$D$57)</x:f>
        <x:v>976.6063817548895</x:v>
      </x:c>
      <x:c r="AJ17" s="18" t="str">
        <x:f>IF(MAX(AG17:AI17)=AG17,"Liberal",IF(MAX(AG17:AI17)=AH17,"PC","Green"))</x:f>
        <x:v>Liberal</x:v>
      </x:c>
    </x:row>
    <x:row r="18">
      <x:c r="A18" s="18" t="str">
        <x:v>Fredericton South-Silverwood</x:v>
      </x:c>
      <x:c r="B18" s="18" t="n">
        <x:v>4605</x:v>
      </x:c>
      <x:c r="C18" s="18" t="n">
        <x:v>2287</x:v>
      </x:c>
      <x:c r="D18" s="18" t="n">
        <x:v>1860</x:v>
      </x:c>
      <x:c r="E18" s="52" t="n">
        <x:f>B18*(('Nowcast Scenarios'!$B$5/SUM('Nowcast Scenarios'!$B$5:$D$5))/$B$57)</x:f>
        <x:v>4192.761618879671</x:v>
      </x:c>
      <x:c r="F18" s="52" t="n">
        <x:f>C18*(('Nowcast Scenarios'!$C$5/SUM('Nowcast Scenarios'!$B$5:$D$5))/$C$57)</x:f>
        <x:v>2600.01068629604</x:v>
      </x:c>
      <x:c r="G18" s="52" t="n">
        <x:f>D18*(('Nowcast Scenarios'!$D$5/SUM('Nowcast Scenarios'!$B$5:$D$5))/$D$57)</x:f>
        <x:v>1795.4576001273988</x:v>
      </x:c>
      <x:c r="H18" s="18" t="str">
        <x:f>IF(MAX(E18:G18)=E18,"Liberal",IF(MAX(E18:G18)=F18,"PC","Green"))</x:f>
        <x:v>Liberal</x:v>
      </x:c>
      <x:c r="I18" s="52" t="n">
        <x:f>B18*(('Nowcast Scenarios'!$B$6/SUM('Nowcast Scenarios'!$B$6:$D$6))/$B$57)</x:f>
        <x:v>4471.8307563030985</x:v>
      </x:c>
      <x:c r="J18" s="52" t="n">
        <x:f>C18*(('Nowcast Scenarios'!$C$6/SUM('Nowcast Scenarios'!$B$6:$D$6))/$C$57)</x:f>
        <x:v>2293.1128731921312</x:v>
      </x:c>
      <x:c r="K18" s="52" t="n">
        <x:f>D18*(('Nowcast Scenarios'!$D$6/SUM('Nowcast Scenarios'!$B$6:$D$6))/$D$57)</x:f>
        <x:v>2035.9631937784163</x:v>
      </x:c>
      <x:c r="L18" s="18" t="str">
        <x:f>IF(MAX(I18:K18)=I18,"Liberal",IF(MAX(I18:K18)=J18,"PC","Green"))</x:f>
        <x:v>Liberal</x:v>
      </x:c>
      <x:c r="M18" s="52" t="n">
        <x:f>B18*(('Nowcast Scenarios'!$B$7/SUM('Nowcast Scenarios'!$B$7:$D$7))/$B$57)</x:f>
        <x:v>4631.538997599638</x:v>
      </x:c>
      <x:c r="N18" s="52" t="n">
        <x:f>C18*(('Nowcast Scenarios'!$C$7/SUM('Nowcast Scenarios'!$B$7:$D$7))/$C$57)</x:f>
        <x:v>2181.4904476187576</x:v>
      </x:c>
      <x:c r="O18" s="52" t="n">
        <x:f>D18*(('Nowcast Scenarios'!$D$7/SUM('Nowcast Scenarios'!$B$7:$D$7))/$D$57)</x:f>
        <x:v>2040.990263392684</x:v>
      </x:c>
      <x:c r="P18" s="18" t="str">
        <x:f>IF(MAX(M18:O18)=M18,"Liberal",IF(MAX(M18:O18)=N18,"PC","Green"))</x:f>
        <x:v>Liberal</x:v>
      </x:c>
      <x:c r="Q18" s="52" t="n">
        <x:f>B18*(('Nowcast Scenarios'!$B$8/SUM('Nowcast Scenarios'!$B$8:$D$8))/$B$57)</x:f>
        <x:v>4462.958292800677</x:v>
      </x:c>
      <x:c r="R18" s="52" t="n">
        <x:f>C18*(('Nowcast Scenarios'!$C$8/SUM('Nowcast Scenarios'!$B$8:$D$8))/$C$57)</x:f>
        <x:v>2330.942283932071</x:v>
      </x:c>
      <x:c r="S18" s="52" t="n">
        <x:f>D18*(('Nowcast Scenarios'!$D$8/SUM('Nowcast Scenarios'!$B$8:$D$8))/$D$57)</x:f>
        <x:v>1970.1603796790614</x:v>
      </x:c>
      <x:c r="T18" s="18" t="str">
        <x:f>IF(MAX(Q18:S18)=Q18,"Liberal",IF(MAX(Q18:S18)=R18,"PC","Green"))</x:f>
        <x:v>Liberal</x:v>
      </x:c>
      <x:c r="U18" s="52" t="n">
        <x:f>B18*(('Nowcast Scenarios'!$B$9/SUM('Nowcast Scenarios'!$B$9:$D$9))/$B$57)</x:f>
        <x:v>4204.410970799251</x:v>
      </x:c>
      <x:c r="V18" s="52" t="n">
        <x:f>C18*(('Nowcast Scenarios'!$C$9/SUM('Nowcast Scenarios'!$B$9:$D$9))/$C$57)</x:f>
        <x:v>2507.716473213169</x:v>
      </x:c>
      <x:c r="W18" s="52" t="n">
        <x:f>D18*(('Nowcast Scenarios'!$D$9/SUM('Nowcast Scenarios'!$B$9:$D$9))/$D$57)</x:f>
        <x:v>1970.1603796790614</x:v>
      </x:c>
      <x:c r="X18" s="18" t="str">
        <x:f>IF(MAX(U18:W18)=U18,"Liberal",IF(MAX(U18:W18)=V18,"PC","Green"))</x:f>
        <x:v>Liberal</x:v>
      </x:c>
      <x:c r="Y18" s="52" t="n">
        <x:f>B18*(('Nowcast Scenarios'!$B$10/SUM('Nowcast Scenarios'!$B$10:$D$10))/$B$57)</x:f>
        <x:v>3424.6322476429514</x:v>
      </x:c>
      <x:c r="Z18" s="52" t="n">
        <x:f>C18*(('Nowcast Scenarios'!$C$10/SUM('Nowcast Scenarios'!$B$10:$D$10))/$C$57)</x:f>
        <x:v>3040.867428084961</x:v>
      </x:c>
      <x:c r="AA18" s="52" t="n">
        <x:f>D18*(('Nowcast Scenarios'!$D$10/SUM('Nowcast Scenarios'!$B$10:$D$10))/$D$57)</x:f>
        <x:v>1970.1603796790614</x:v>
      </x:c>
      <x:c r="AB18" s="18" t="str">
        <x:f>IF(MAX(Y18:AA18)=Y18,"Liberal",IF(MAX(Y18:AA18)=Z18,"PC","Green"))</x:f>
        <x:v>Liberal</x:v>
      </x:c>
      <x:c r="AC18" s="52" t="n">
        <x:f>B18*(('Nowcast Scenarios'!$B$11/SUM('Nowcast Scenarios'!$B$11:$D$11))/$B$57)</x:f>
        <x:v>4039.4989779158495</x:v>
      </x:c>
      <x:c r="AD18" s="52" t="n">
        <x:f>C18*(('Nowcast Scenarios'!$C$11/SUM('Nowcast Scenarios'!$B$11:$D$11))/$C$57)</x:f>
        <x:v>2620.47023766536</x:v>
      </x:c>
      <x:c r="AE18" s="52" t="n">
        <x:f>D18*(('Nowcast Scenarios'!$D$11/SUM('Nowcast Scenarios'!$B$11:$D$11))/$D$57)</x:f>
        <x:v>1970.1603796790614</x:v>
      </x:c>
      <x:c r="AF18" s="18" t="str">
        <x:f>IF(MAX(AC18:AE18)=AC18,"Liberal",IF(MAX(AC18:AE18)=AD18,"PC","Green"))</x:f>
        <x:v>Liberal</x:v>
      </x:c>
      <x:c r="AG18" s="52" t="n">
        <x:f>B18*(('Nowcast Scenarios'!$B$12/SUM('Nowcast Scenarios'!$B$12:$D$12))/$B$57)</x:f>
        <x:v>3936.0800491152795</x:v>
      </x:c>
      <x:c r="AH18" s="52" t="n">
        <x:f>C18*(('Nowcast Scenarios'!$C$12/SUM('Nowcast Scenarios'!$B$12:$D$12))/$C$57)</x:f>
        <x:v>2691.1799133777995</x:v>
      </x:c>
      <x:c r="AI18" s="52" t="n">
        <x:f>D18*(('Nowcast Scenarios'!$D$12/SUM('Nowcast Scenarios'!$B$12:$D$12))/$D$57)</x:f>
        <x:v>1970.1603796790614</x:v>
      </x:c>
      <x:c r="AJ18" s="18" t="str">
        <x:f>IF(MAX(AG18:AI18)=AG18,"Liberal",IF(MAX(AG18:AI18)=AH18,"PC","Green"))</x:f>
        <x:v>Liberal</x:v>
      </x:c>
    </x:row>
    <x:row r="19">
      <x:c r="A19" s="18" t="str">
        <x:v>Fredericton-Grand Lake</x:v>
      </x:c>
      <x:c r="B19" s="18" t="n">
        <x:v>2277</x:v>
      </x:c>
      <x:c r="C19" s="18" t="n">
        <x:v>4456</x:v>
      </x:c>
      <x:c r="D19" s="18" t="n">
        <x:v>862</x:v>
      </x:c>
      <x:c r="E19" s="52" t="n">
        <x:f>B19*(('Nowcast Scenarios'!$B$5/SUM('Nowcast Scenarios'!$B$5:$D$5))/$B$57)</x:f>
        <x:v>2073.163562690339</x:v>
      </x:c>
      <x:c r="F19" s="52" t="n">
        <x:f>C19*(('Nowcast Scenarios'!$C$5/SUM('Nowcast Scenarios'!$B$5:$D$5))/$C$57)</x:f>
        <x:v>5065.87128033894</x:v>
      </x:c>
      <x:c r="G19" s="52" t="n">
        <x:f>D19*(('Nowcast Scenarios'!$D$5/SUM('Nowcast Scenarios'!$B$5:$D$5))/$D$57)</x:f>
        <x:v>832.0884146826977</x:v>
      </x:c>
      <x:c r="H19" s="18" t="str">
        <x:f>IF(MAX(E19:G19)=E19,"Liberal",IF(MAX(E19:G19)=F19,"PC","Green"))</x:f>
        <x:v>PC</x:v>
      </x:c>
      <x:c r="I19" s="52" t="n">
        <x:f>B19*(('Nowcast Scenarios'!$B$6/SUM('Nowcast Scenarios'!$B$6:$D$6))/$B$57)</x:f>
        <x:v>2211.1527974163205</x:v>
      </x:c>
      <x:c r="J19" s="52" t="n">
        <x:f>C19*(('Nowcast Scenarios'!$C$6/SUM('Nowcast Scenarios'!$B$6:$D$6))/$C$57)</x:f>
        <x:v>4467.910346718031</x:v>
      </x:c>
      <x:c r="K19" s="52" t="n">
        <x:f>D19*(('Nowcast Scenarios'!$D$6/SUM('Nowcast Scenarios'!$B$6:$D$6))/$D$57)</x:f>
        <x:v>943.5485338908575</x:v>
      </x:c>
      <x:c r="L19" s="18" t="str">
        <x:f>IF(MAX(I19:K19)=I19,"Liberal",IF(MAX(I19:K19)=J19,"PC","Green"))</x:f>
        <x:v>PC</x:v>
      </x:c>
      <x:c r="M19" s="52" t="n">
        <x:f>B19*(('Nowcast Scenarios'!$B$7/SUM('Nowcast Scenarios'!$B$7:$D$7))/$B$57)</x:f>
        <x:v>2290.122540181189</x:v>
      </x:c>
      <x:c r="N19" s="52" t="n">
        <x:f>C19*(('Nowcast Scenarios'!$C$7/SUM('Nowcast Scenarios'!$B$7:$D$7))/$C$57)</x:f>
        <x:v>4250.424763703185</x:v>
      </x:c>
      <x:c r="O19" s="52" t="n">
        <x:f>D19*(('Nowcast Scenarios'!$D$7/SUM('Nowcast Scenarios'!$B$7:$D$7))/$D$57)</x:f>
        <x:v>945.8782833572545</x:v>
      </x:c>
      <x:c r="P19" s="18" t="str">
        <x:f>IF(MAX(M19:O19)=M19,"Liberal",IF(MAX(M19:O19)=N19,"PC","Green"))</x:f>
        <x:v>PC</x:v>
      </x:c>
      <x:c r="Q19" s="52" t="n">
        <x:f>B19*(('Nowcast Scenarios'!$B$8/SUM('Nowcast Scenarios'!$B$8:$D$8))/$B$57)</x:f>
        <x:v>2206.7656965704973</x:v>
      </x:c>
      <x:c r="R19" s="52" t="n">
        <x:f>C19*(('Nowcast Scenarios'!$C$8/SUM('Nowcast Scenarios'!$B$8:$D$8))/$C$57)</x:f>
        <x:v>4541.617322781507</x:v>
      </x:c>
      <x:c r="S19" s="52" t="n">
        <x:f>D19*(('Nowcast Scenarios'!$D$8/SUM('Nowcast Scenarios'!$B$8:$D$8))/$D$57)</x:f>
        <x:v>913.0528211200811</x:v>
      </x:c>
      <x:c r="T19" s="18" t="str">
        <x:f>IF(MAX(Q19:S19)=Q19,"Liberal",IF(MAX(Q19:S19)=R19,"PC","Green"))</x:f>
        <x:v>PC</x:v>
      </x:c>
      <x:c r="U19" s="52" t="n">
        <x:f>B19*(('Nowcast Scenarios'!$B$9/SUM('Nowcast Scenarios'!$B$9:$D$9))/$B$57)</x:f>
        <x:v>2078.9237308381967</x:v>
      </x:c>
      <x:c r="V19" s="52" t="n">
        <x:f>C19*(('Nowcast Scenarios'!$C$9/SUM('Nowcast Scenarios'!$B$9:$D$9))/$C$57)</x:f>
        <x:v>4886.044864292909</x:v>
      </x:c>
      <x:c r="W19" s="52" t="n">
        <x:f>D19*(('Nowcast Scenarios'!$D$9/SUM('Nowcast Scenarios'!$B$9:$D$9))/$D$57)</x:f>
        <x:v>913.0528211200811</x:v>
      </x:c>
      <x:c r="X19" s="18" t="str">
        <x:f>IF(MAX(U19:W19)=U19,"Liberal",IF(MAX(U19:W19)=V19,"PC","Green"))</x:f>
        <x:v>PC</x:v>
      </x:c>
      <x:c r="Y19" s="52" t="n">
        <x:f>B19*(('Nowcast Scenarios'!$B$10/SUM('Nowcast Scenarios'!$B$10:$D$10))/$B$57)</x:f>
        <x:v>1693.3523621895768</x:v>
      </x:c>
      <x:c r="Z19" s="52" t="n">
        <x:f>C19*(('Nowcast Scenarios'!$C$10/SUM('Nowcast Scenarios'!$B$10:$D$10))/$C$57)</x:f>
        <x:v>5924.838329491292</x:v>
      </x:c>
      <x:c r="AA19" s="52" t="n">
        <x:f>D19*(('Nowcast Scenarios'!$D$10/SUM('Nowcast Scenarios'!$B$10:$D$10))/$D$57)</x:f>
        <x:v>913.0528211200811</x:v>
      </x:c>
      <x:c r="AB19" s="18" t="str">
        <x:f>IF(MAX(Y19:AA19)=Y19,"Liberal",IF(MAX(Y19:AA19)=Z19,"PC","Green"))</x:f>
        <x:v>PC</x:v>
      </x:c>
      <x:c r="AC19" s="52" t="n">
        <x:f>B19*(('Nowcast Scenarios'!$B$11/SUM('Nowcast Scenarios'!$B$11:$D$11))/$B$57)</x:f>
        <x:v>1997.3809278424299</x:v>
      </x:c>
      <x:c r="AD19" s="52" t="n">
        <x:f>C19*(('Nowcast Scenarios'!$C$11/SUM('Nowcast Scenarios'!$B$11:$D$11))/$C$57)</x:f>
        <x:v>5105.734752530321</x:v>
      </x:c>
      <x:c r="AE19" s="52" t="n">
        <x:f>D19*(('Nowcast Scenarios'!$D$11/SUM('Nowcast Scenarios'!$B$11:$D$11))/$D$57)</x:f>
        <x:v>913.0528211200811</x:v>
      </x:c>
      <x:c r="AF19" s="18" t="str">
        <x:f>IF(MAX(AC19:AE19)=AC19,"Liberal",IF(MAX(AC19:AE19)=AD19,"PC","Green"))</x:f>
        <x:v>PC</x:v>
      </x:c>
      <x:c r="AG19" s="52" t="n">
        <x:f>B19*(('Nowcast Scenarios'!$B$12/SUM('Nowcast Scenarios'!$B$12:$D$12))/$B$57)</x:f>
        <x:v>1946.2441415495095</x:v>
      </x:c>
      <x:c r="AH19" s="52" t="n">
        <x:f>C19*(('Nowcast Scenarios'!$C$12/SUM('Nowcast Scenarios'!$B$12:$D$12))/$C$57)</x:f>
        <x:v>5243.505769134882</x:v>
      </x:c>
      <x:c r="AI19" s="52" t="n">
        <x:f>D19*(('Nowcast Scenarios'!$D$12/SUM('Nowcast Scenarios'!$B$12:$D$12))/$D$57)</x:f>
        <x:v>913.0528211200811</x:v>
      </x:c>
      <x:c r="AJ19" s="18" t="str">
        <x:f>IF(MAX(AG19:AI19)=AG19,"Liberal",IF(MAX(AG19:AI19)=AH19,"PC","Green"))</x:f>
        <x:v>PC</x:v>
      </x:c>
    </x:row>
    <x:row r="20">
      <x:c r="A20" s="18" t="str">
        <x:v>Fredericton-York</x:v>
      </x:c>
      <x:c r="B20" s="18" t="n">
        <x:v>2527</x:v>
      </x:c>
      <x:c r="C20" s="18" t="n">
        <x:v>3572</x:v>
      </x:c>
      <x:c r="D20" s="18" t="n">
        <x:v>1673</x:v>
      </x:c>
      <x:c r="E20" s="52" t="n">
        <x:f>B20*(('Nowcast Scenarios'!$B$5/SUM('Nowcast Scenarios'!$B$5:$D$5))/$B$57)</x:f>
        <x:v>2300.783628861874</x:v>
      </x:c>
      <x:c r="F20" s="52" t="n">
        <x:f>C20*(('Nowcast Scenarios'!$C$5/SUM('Nowcast Scenarios'!$B$5:$D$5))/$C$57)</x:f>
        <x:v>4060.8824536289703</x:v>
      </x:c>
      <x:c r="G20" s="52" t="n">
        <x:f>D20*(('Nowcast Scenarios'!$D$5/SUM('Nowcast Scenarios'!$B$5:$D$5))/$D$57)</x:f>
        <x:v>1614.9465403296442</x:v>
      </x:c>
      <x:c r="H20" s="18" t="str">
        <x:f>IF(MAX(E20:G20)=E20,"Liberal",IF(MAX(E20:G20)=F20,"PC","Green"))</x:f>
        <x:v>PC</x:v>
      </x:c>
      <x:c r="I20" s="52" t="n">
        <x:f>B20*(('Nowcast Scenarios'!$B$6/SUM('Nowcast Scenarios'!$B$6:$D$6))/$B$57)</x:f>
        <x:v>2453.9231967813093</x:v>
      </x:c>
      <x:c r="J20" s="52" t="n">
        <x:f>C20*(('Nowcast Scenarios'!$C$6/SUM('Nowcast Scenarios'!$B$6:$D$6))/$C$57)</x:f>
        <x:v>3581.547522099822</x:v>
      </x:c>
      <x:c r="K20" s="52" t="n">
        <x:f>D20*(('Nowcast Scenarios'!$D$6/SUM('Nowcast Scenarios'!$B$6:$D$6))/$D$57)</x:f>
        <x:v>1831.272270532952</x:v>
      </x:c>
      <x:c r="L20" s="18" t="str">
        <x:f>IF(MAX(I20:K20)=I20,"Liberal",IF(MAX(I20:K20)=J20,"PC","Green"))</x:f>
        <x:v>PC</x:v>
      </x:c>
      <x:c r="M20" s="52" t="n">
        <x:f>B20*(('Nowcast Scenarios'!$B$7/SUM('Nowcast Scenarios'!$B$7:$D$7))/$B$57)</x:f>
        <x:v>2541.5633109520704</x:v>
      </x:c>
      <x:c r="N20" s="52" t="n">
        <x:f>C20*(('Nowcast Scenarios'!$C$7/SUM('Nowcast Scenarios'!$B$7:$D$7))/$C$57)</x:f>
        <x:v>3407.2076427171846</x:v>
      </x:c>
      <x:c r="O20" s="52" t="n">
        <x:f>D20*(('Nowcast Scenarios'!$D$7/SUM('Nowcast Scenarios'!$B$7:$D$7))/$D$57)</x:f>
        <x:v>1835.7939304601937</x:v>
      </x:c>
      <x:c r="P20" s="18" t="str">
        <x:f>IF(MAX(M20:O20)=M20,"Liberal",IF(MAX(M20:O20)=N20,"PC","Green"))</x:f>
        <x:v>PC</x:v>
      </x:c>
      <x:c r="Q20" s="52" t="n">
        <x:f>B20*(('Nowcast Scenarios'!$B$8/SUM('Nowcast Scenarios'!$B$8:$D$8))/$B$57)</x:f>
        <x:v>2449.054420392467</x:v>
      </x:c>
      <x:c r="R20" s="52" t="n">
        <x:f>C20*(('Nowcast Scenarios'!$C$8/SUM('Nowcast Scenarios'!$B$8:$D$8))/$C$57)</x:f>
        <x:v>3640.6321986031294</x:v>
      </x:c>
      <x:c r="S20" s="52" t="n">
        <x:f>D20*(('Nowcast Scenarios'!$D$8/SUM('Nowcast Scenarios'!$B$8:$D$8))/$D$57)</x:f>
        <x:v>1772.0851157005752</x:v>
      </x:c>
      <x:c r="T20" s="18" t="str">
        <x:f>IF(MAX(Q20:S20)=Q20,"Liberal",IF(MAX(Q20:S20)=R20,"PC","Green"))</x:f>
        <x:v>PC</x:v>
      </x:c>
      <x:c r="U20" s="52" t="n">
        <x:f>B20*(('Nowcast Scenarios'!$B$9/SUM('Nowcast Scenarios'!$B$9:$D$9))/$B$57)</x:f>
        <x:v>2307.1762265384814</x:v>
      </x:c>
      <x:c r="V20" s="52" t="n">
        <x:f>C20*(('Nowcast Scenarios'!$C$9/SUM('Nowcast Scenarios'!$B$9:$D$9))/$C$57)</x:f>
        <x:v>3916.730757462807</x:v>
      </x:c>
      <x:c r="W20" s="52" t="n">
        <x:f>D20*(('Nowcast Scenarios'!$D$9/SUM('Nowcast Scenarios'!$B$9:$D$9))/$D$57)</x:f>
        <x:v>1772.0851157005752</x:v>
      </x:c>
      <x:c r="X20" s="18" t="str">
        <x:f>IF(MAX(U20:W20)=U20,"Liberal",IF(MAX(U20:W20)=V20,"PC","Green"))</x:f>
        <x:v>PC</x:v>
      </x:c>
      <x:c r="Y20" s="52" t="n">
        <x:f>B20*(('Nowcast Scenarios'!$B$10/SUM('Nowcast Scenarios'!$B$10:$D$10))/$B$57)</x:f>
        <x:v>1879.2715938748618</x:v>
      </x:c>
      <x:c r="Z20" s="52" t="n">
        <x:f>C20*(('Nowcast Scenarios'!$C$10/SUM('Nowcast Scenarios'!$B$10:$D$10))/$C$57)</x:f>
        <x:v>4749.444010983594</x:v>
      </x:c>
      <x:c r="AA20" s="52" t="n">
        <x:f>D20*(('Nowcast Scenarios'!$D$10/SUM('Nowcast Scenarios'!$B$10:$D$10))/$D$57)</x:f>
        <x:v>1772.0851157005752</x:v>
      </x:c>
      <x:c r="AB20" s="18" t="str">
        <x:f>IF(MAX(Y20:AA20)=Y20,"Liberal",IF(MAX(Y20:AA20)=Z20,"PC","Green"))</x:f>
        <x:v>PC</x:v>
      </x:c>
      <x:c r="AC20" s="52" t="n">
        <x:f>B20*(('Nowcast Scenarios'!$B$11/SUM('Nowcast Scenarios'!$B$11:$D$11))/$B$57)</x:f>
        <x:v>2216.680546621792</x:v>
      </x:c>
      <x:c r="AD20" s="52" t="n">
        <x:f>C20*(('Nowcast Scenarios'!$C$11/SUM('Nowcast Scenarios'!$B$11:$D$11))/$C$57)</x:f>
        <x:v>4092.8376427375015</x:v>
      </x:c>
      <x:c r="AE20" s="52" t="n">
        <x:f>D20*(('Nowcast Scenarios'!$D$11/SUM('Nowcast Scenarios'!$B$11:$D$11))/$D$57)</x:f>
        <x:v>1772.0851157005752</x:v>
      </x:c>
      <x:c r="AF20" s="18" t="str">
        <x:f>IF(MAX(AC20:AE20)=AC20,"Liberal",IF(MAX(AC20:AE20)=AD20,"PC","Green"))</x:f>
        <x:v>PC</x:v>
      </x:c>
      <x:c r="AG20" s="52" t="n">
        <x:f>B20*(('Nowcast Scenarios'!$B$12/SUM('Nowcast Scenarios'!$B$12:$D$12))/$B$57)</x:f>
        <x:v>2159.929269080198</x:v>
      </x:c>
      <x:c r="AH20" s="52" t="n">
        <x:f>C20*(('Nowcast Scenarios'!$C$12/SUM('Nowcast Scenarios'!$B$12:$D$12))/$C$57)</x:f>
        <x:v>4203.277066281373</x:v>
      </x:c>
      <x:c r="AI20" s="52" t="n">
        <x:f>D20*(('Nowcast Scenarios'!$D$12/SUM('Nowcast Scenarios'!$B$12:$D$12))/$D$57)</x:f>
        <x:v>1772.0851157005752</x:v>
      </x:c>
      <x:c r="AJ20" s="18" t="str">
        <x:f>IF(MAX(AG20:AI20)=AG20,"Liberal",IF(MAX(AG20:AI20)=AH20,"PC","Green"))</x:f>
        <x:v>PC</x:v>
      </x:c>
    </x:row>
    <x:row r="21">
      <x:c r="A21" s="18" t="str">
        <x:v>Fundy-The Isles-Saint John Lorneville</x:v>
      </x:c>
      <x:c r="B21" s="18" t="n">
        <x:v>2052</x:v>
      </x:c>
      <x:c r="C21" s="18" t="n">
        <x:v>3971</x:v>
      </x:c>
      <x:c r="D21" s="18" t="n">
        <x:v>346</x:v>
      </x:c>
      <x:c r="E21" s="52" t="n">
        <x:f>B21*(('Nowcast Scenarios'!$B$5/SUM('Nowcast Scenarios'!$B$5:$D$5))/$B$57)</x:f>
        <x:v>1868.305503135958</x:v>
      </x:c>
      <x:c r="F21" s="52" t="n">
        <x:f>C21*(('Nowcast Scenarios'!$C$5/SUM('Nowcast Scenarios'!$B$5:$D$5))/$C$57)</x:f>
        <x:v>4514.49166387476</x:v>
      </x:c>
      <x:c r="G21" s="52" t="n">
        <x:f>D21*(('Nowcast Scenarios'!$D$5/SUM('Nowcast Scenarios'!$B$5:$D$5))/$D$57)</x:f>
        <x:v>333.99372561509676</x:v>
      </x:c>
      <x:c r="H21" s="18" t="str">
        <x:f>IF(MAX(E21:G21)=E21,"Liberal",IF(MAX(E21:G21)=F21,"PC","Green"))</x:f>
        <x:v>PC</x:v>
      </x:c>
      <x:c r="I21" s="52" t="n">
        <x:f>B21*(('Nowcast Scenarios'!$B$6/SUM('Nowcast Scenarios'!$B$6:$D$6))/$B$57)</x:f>
        <x:v>1992.6594379878302</x:v>
      </x:c>
      <x:c r="J21" s="52" t="n">
        <x:f>C21*(('Nowcast Scenarios'!$C$6/SUM('Nowcast Scenarios'!$B$6:$D$6))/$C$57)</x:f>
        <x:v>3981.614000632249</x:v>
      </x:c>
      <x:c r="K21" s="52" t="n">
        <x:f>D21*(('Nowcast Scenarios'!$D$6/SUM('Nowcast Scenarios'!$B$6:$D$6))/$D$57)</x:f>
        <x:v>378.73293819749034</x:v>
      </x:c>
      <x:c r="L21" s="18" t="str">
        <x:f>IF(MAX(I21:K21)=I21,"Liberal",IF(MAX(I21:K21)=J21,"PC","Green"))</x:f>
        <x:v>PC</x:v>
      </x:c>
      <x:c r="M21" s="52" t="n">
        <x:f>B21*(('Nowcast Scenarios'!$B$7/SUM('Nowcast Scenarios'!$B$7:$D$7))/$B$57)</x:f>
        <x:v>2063.825846487395</x:v>
      </x:c>
      <x:c r="N21" s="52" t="n">
        <x:f>C21*(('Nowcast Scenarios'!$C$7/SUM('Nowcast Scenarios'!$B$7:$D$7))/$C$57)</x:f>
        <x:v>3787.7999857866575</x:v>
      </x:c>
      <x:c r="O21" s="52" t="n">
        <x:f>D21*(('Nowcast Scenarios'!$D$7/SUM('Nowcast Scenarios'!$B$7:$D$7))/$D$57)</x:f>
        <x:v>379.6680812547681</x:v>
      </x:c>
      <x:c r="P21" s="18" t="str">
        <x:f>IF(MAX(M21:O21)=M21,"Liberal",IF(MAX(M21:O21)=N21,"PC","Green"))</x:f>
        <x:v>PC</x:v>
      </x:c>
      <x:c r="Q21" s="52" t="n">
        <x:f>B21*(('Nowcast Scenarios'!$B$8/SUM('Nowcast Scenarios'!$B$8:$D$8))/$B$57)</x:f>
        <x:v>1988.705845130725</x:v>
      </x:c>
      <x:c r="R21" s="52" t="n">
        <x:f>C21*(('Nowcast Scenarios'!$C$8/SUM('Nowcast Scenarios'!$B$8:$D$8))/$C$57)</x:f>
        <x:v>4047.2985612130533</x:v>
      </x:c>
      <x:c r="S21" s="52" t="n">
        <x:f>D21*(('Nowcast Scenarios'!$D$8/SUM('Nowcast Scenarios'!$B$8:$D$8))/$D$57)</x:f>
        <x:v>366.4921996607286</x:v>
      </x:c>
      <x:c r="T21" s="18" t="str">
        <x:f>IF(MAX(Q21:S21)=Q21,"Liberal",IF(MAX(Q21:S21)=R21,"PC","Green"))</x:f>
        <x:v>PC</x:v>
      </x:c>
      <x:c r="U21" s="52" t="n">
        <x:f>B21*(('Nowcast Scenarios'!$B$9/SUM('Nowcast Scenarios'!$B$9:$D$9))/$B$57)</x:f>
        <x:v>1873.49648470794</x:v>
      </x:c>
      <x:c r="V21" s="52" t="n">
        <x:f>C21*(('Nowcast Scenarios'!$C$9/SUM('Nowcast Scenarios'!$B$9:$D$9))/$C$57)</x:f>
        <x:v>4354.237916541099</x:v>
      </x:c>
      <x:c r="W21" s="52" t="n">
        <x:f>D21*(('Nowcast Scenarios'!$D$9/SUM('Nowcast Scenarios'!$B$9:$D$9))/$D$57)</x:f>
        <x:v>366.4921996607286</x:v>
      </x:c>
      <x:c r="X21" s="18" t="str">
        <x:f>IF(MAX(U21:W21)=U21,"Liberal",IF(MAX(U21:W21)=V21,"PC","Green"))</x:f>
        <x:v>PC</x:v>
      </x:c>
      <x:c r="Y21" s="52" t="n">
        <x:f>B21*(('Nowcast Scenarios'!$B$10/SUM('Nowcast Scenarios'!$B$10:$D$10))/$B$57)</x:f>
        <x:v>1526.0250536728201</x:v>
      </x:c>
      <x:c r="Z21" s="52" t="n">
        <x:f>C21*(('Nowcast Scenarios'!$C$10/SUM('Nowcast Scenarios'!$B$10:$D$10))/$C$57)</x:f>
        <x:v>5279.967012210485</x:v>
      </x:c>
      <x:c r="AA21" s="52" t="n">
        <x:f>D21*(('Nowcast Scenarios'!$D$10/SUM('Nowcast Scenarios'!$B$10:$D$10))/$D$57)</x:f>
        <x:v>366.4921996607286</x:v>
      </x:c>
      <x:c r="AB21" s="18" t="str">
        <x:f>IF(MAX(Y21:AA21)=Y21,"Liberal",IF(MAX(Y21:AA21)=Z21,"PC","Green"))</x:f>
        <x:v>PC</x:v>
      </x:c>
      <x:c r="AC21" s="52" t="n">
        <x:f>B21*(('Nowcast Scenarios'!$B$11/SUM('Nowcast Scenarios'!$B$11:$D$11))/$B$57)</x:f>
        <x:v>1800.0112709410039</x:v>
      </x:c>
      <x:c r="AD21" s="52" t="n">
        <x:f>C21*(('Nowcast Scenarios'!$C$11/SUM('Nowcast Scenarios'!$B$11:$D$11))/$C$57)</x:f>
        <x:v>4550.016315596478</x:v>
      </x:c>
      <x:c r="AE21" s="52" t="n">
        <x:f>D21*(('Nowcast Scenarios'!$D$11/SUM('Nowcast Scenarios'!$B$11:$D$11))/$D$57)</x:f>
        <x:v>366.4921996607286</x:v>
      </x:c>
      <x:c r="AF21" s="18" t="str">
        <x:f>IF(MAX(AC21:AE21)=AC21,"Liberal",IF(MAX(AC21:AE21)=AD21,"PC","Green"))</x:f>
        <x:v>PC</x:v>
      </x:c>
      <x:c r="AG21" s="52" t="n">
        <x:f>B21*(('Nowcast Scenarios'!$B$12/SUM('Nowcast Scenarios'!$B$12:$D$12))/$B$57)</x:f>
        <x:v>1753.9275267718901</x:v>
      </x:c>
      <x:c r="AH21" s="52" t="n">
        <x:f>C21*(('Nowcast Scenarios'!$C$12/SUM('Nowcast Scenarios'!$B$12:$D$12))/$C$57)</x:f>
        <x:v>4672.792057727696</x:v>
      </x:c>
      <x:c r="AI21" s="52" t="n">
        <x:f>D21*(('Nowcast Scenarios'!$D$12/SUM('Nowcast Scenarios'!$B$12:$D$12))/$D$57)</x:f>
        <x:v>366.4921996607286</x:v>
      </x:c>
      <x:c r="AJ21" s="18" t="str">
        <x:f>IF(MAX(AG21:AI21)=AG21,"Liberal",IF(MAX(AG21:AI21)=AH21,"PC","Green"))</x:f>
        <x:v>PC</x:v>
      </x:c>
    </x:row>
    <x:row r="22">
      <x:c r="A22" s="18" t="str">
        <x:v>Grand Falls-Vallée-des-Rivières-Saint-Quentin</x:v>
      </x:c>
      <x:c r="B22" s="18" t="n">
        <x:v>4976</x:v>
      </x:c>
      <x:c r="C22" s="18" t="n">
        <x:v>2493</x:v>
      </x:c>
      <x:c r="D22" s="18" t="n">
        <x:v>540</x:v>
      </x:c>
      <x:c r="E22" s="52" t="n">
        <x:f>B22*(('Nowcast Scenarios'!$B$5/SUM('Nowcast Scenarios'!$B$5:$D$5))/$B$57)</x:f>
        <x:v>4530.549797078229</x:v>
      </x:c>
      <x:c r="F22" s="52" t="n">
        <x:f>C22*(('Nowcast Scenarios'!$C$5/SUM('Nowcast Scenarios'!$B$5:$D$5))/$C$57)</x:f>
        <x:v>2834.2049151447436</x:v>
      </x:c>
      <x:c r="G22" s="52" t="n">
        <x:f>D22*(('Nowcast Scenarios'!$D$5/SUM('Nowcast Scenarios'!$B$5:$D$5))/$D$57)</x:f>
        <x:v>521.2618839079545</x:v>
      </x:c>
      <x:c r="H22" s="18" t="str">
        <x:f>IF(MAX(E22:G22)=E22,"Liberal",IF(MAX(E22:G22)=F22,"PC","Green"))</x:f>
        <x:v>Liberal</x:v>
      </x:c>
      <x:c r="I22" s="52" t="n">
        <x:f>B22*(('Nowcast Scenarios'!$B$6/SUM('Nowcast Scenarios'!$B$6:$D$6))/$B$57)</x:f>
        <x:v>4832.102028960742</x:v>
      </x:c>
      <x:c r="J22" s="52" t="n">
        <x:f>C22*(('Nowcast Scenarios'!$C$6/SUM('Nowcast Scenarios'!$B$6:$D$6))/$C$57)</x:f>
        <x:v>2499.6634861687726</x:v>
      </x:c>
      <x:c r="K22" s="52" t="n">
        <x:f>D22*(('Nowcast Scenarios'!$D$6/SUM('Nowcast Scenarios'!$B$6:$D$6))/$D$57)</x:f>
        <x:v>591.0860885163145</x:v>
      </x:c>
      <x:c r="L22" s="18" t="str">
        <x:f>IF(MAX(I22:K22)=I22,"Liberal",IF(MAX(I22:K22)=J22,"PC","Green"))</x:f>
        <x:v>Liberal</x:v>
      </x:c>
      <x:c r="M22" s="52" t="n">
        <x:f>B22*(('Nowcast Scenarios'!$B$7/SUM('Nowcast Scenarios'!$B$7:$D$7))/$B$57)</x:f>
        <x:v>5004.677101423626</x:v>
      </x:c>
      <x:c r="N22" s="52" t="n">
        <x:f>C22*(('Nowcast Scenarios'!$C$7/SUM('Nowcast Scenarios'!$B$7:$D$7))/$C$57)</x:f>
        <x:v>2377.9867450430966</x:v>
      </x:c>
      <x:c r="O22" s="52" t="n">
        <x:f>D22*(('Nowcast Scenarios'!$D$7/SUM('Nowcast Scenarios'!$B$7:$D$7))/$D$57)</x:f>
        <x:v>592.5455603398115</x:v>
      </x:c>
      <x:c r="P22" s="18" t="str">
        <x:f>IF(MAX(M22:O22)=M22,"Liberal",IF(MAX(M22:O22)=N22,"PC","Green"))</x:f>
        <x:v>Liberal</x:v>
      </x:c>
      <x:c r="Q22" s="52" t="n">
        <x:f>B22*(('Nowcast Scenarios'!$B$8/SUM('Nowcast Scenarios'!$B$8:$D$8))/$B$57)</x:f>
        <x:v>4822.5147589524795</x:v>
      </x:c>
      <x:c r="R22" s="52" t="n">
        <x:f>C22*(('Nowcast Scenarios'!$C$8/SUM('Nowcast Scenarios'!$B$8:$D$8))/$C$57)</x:f>
        <x:v>2540.9003558559916</x:v>
      </x:c>
      <x:c r="S22" s="52" t="n">
        <x:f>D22*(('Nowcast Scenarios'!$D$8/SUM('Nowcast Scenarios'!$B$8:$D$8))/$D$57)</x:f>
        <x:v>571.9820457132759</x:v>
      </x:c>
      <x:c r="T22" s="18" t="str">
        <x:f>IF(MAX(Q22:S22)=Q22,"Liberal",IF(MAX(Q22:S22)=R22,"PC","Green"))</x:f>
        <x:v>Liberal</x:v>
      </x:c>
      <x:c r="U22" s="52" t="n">
        <x:f>B22*(('Nowcast Scenarios'!$B$9/SUM('Nowcast Scenarios'!$B$9:$D$9))/$B$57)</x:f>
        <x:v>4543.1376744184745</x:v>
      </x:c>
      <x:c r="V22" s="52" t="n">
        <x:f>C22*(('Nowcast Scenarios'!$C$9/SUM('Nowcast Scenarios'!$B$9:$D$9))/$C$57)</x:f>
        <x:v>2733.5973623613604</x:v>
      </x:c>
      <x:c r="W22" s="52" t="n">
        <x:f>D22*(('Nowcast Scenarios'!$D$9/SUM('Nowcast Scenarios'!$B$9:$D$9))/$D$57)</x:f>
        <x:v>571.9820457132759</x:v>
      </x:c>
      <x:c r="X22" s="18" t="str">
        <x:f>IF(MAX(U22:W22)=U22,"Liberal",IF(MAX(U22:W22)=V22,"PC","Green"))</x:f>
        <x:v>Liberal</x:v>
      </x:c>
      <x:c r="Y22" s="52" t="n">
        <x:f>B22*(('Nowcast Scenarios'!$B$10/SUM('Nowcast Scenarios'!$B$10:$D$10))/$B$57)</x:f>
        <x:v>3700.5363874639147</x:v>
      </x:c>
      <x:c r="Z22" s="52" t="n">
        <x:f>C22*(('Nowcast Scenarios'!$C$10/SUM('Nowcast Scenarios'!$B$10:$D$10))/$C$57)</x:f>
        <x:v>3314.771533981551</x:v>
      </x:c>
      <x:c r="AA22" s="52" t="n">
        <x:f>D22*(('Nowcast Scenarios'!$D$10/SUM('Nowcast Scenarios'!$B$10:$D$10))/$D$57)</x:f>
        <x:v>571.9820457132759</x:v>
      </x:c>
      <x:c r="AB22" s="18" t="str">
        <x:f>IF(MAX(Y22:AA22)=Y22,"Liberal",IF(MAX(Y22:AA22)=Z22,"PC","Green"))</x:f>
        <x:v>Liberal</x:v>
      </x:c>
      <x:c r="AC22" s="52" t="n">
        <x:f>B22*(('Nowcast Scenarios'!$B$11/SUM('Nowcast Scenarios'!$B$11:$D$11))/$B$57)</x:f>
        <x:v>4364.939612184423</x:v>
      </x:c>
      <x:c r="AD22" s="52" t="n">
        <x:f>C22*(('Nowcast Scenarios'!$C$11/SUM('Nowcast Scenarios'!$B$11:$D$11))/$C$57)</x:f>
        <x:v>2856.507346960972</x:v>
      </x:c>
      <x:c r="AE22" s="52" t="n">
        <x:f>D22*(('Nowcast Scenarios'!$D$11/SUM('Nowcast Scenarios'!$B$11:$D$11))/$D$57)</x:f>
        <x:v>571.9820457132759</x:v>
      </x:c>
      <x:c r="AF22" s="18" t="str">
        <x:f>IF(MAX(AC22:AE22)=AC22,"Liberal",IF(MAX(AC22:AE22)=AD22,"PC","Green"))</x:f>
        <x:v>Liberal</x:v>
      </x:c>
      <x:c r="AG22" s="52" t="n">
        <x:f>B22*(('Nowcast Scenarios'!$B$12/SUM('Nowcast Scenarios'!$B$12:$D$12))/$B$57)</x:f>
        <x:v>4253.188778370821</x:v>
      </x:c>
      <x:c r="AH22" s="52" t="n">
        <x:f>C22*(('Nowcast Scenarios'!$C$12/SUM('Nowcast Scenarios'!$B$12:$D$12))/$C$57)</x:f>
        <x:v>2933.5861495631198</x:v>
      </x:c>
      <x:c r="AI22" s="52" t="n">
        <x:f>D22*(('Nowcast Scenarios'!$D$12/SUM('Nowcast Scenarios'!$B$12:$D$12))/$D$57)</x:f>
        <x:v>571.9820457132759</x:v>
      </x:c>
      <x:c r="AJ22" s="18" t="str">
        <x:f>IF(MAX(AG22:AI22)=AG22,"Liberal",IF(MAX(AG22:AI22)=AH22,"PC","Green"))</x:f>
        <x:v>Liberal</x:v>
      </x:c>
    </x:row>
    <x:row r="23">
      <x:c r="A23" s="18" t="str">
        <x:v>Hampton-Fundy-St. Martins</x:v>
      </x:c>
      <x:c r="B23" s="18" t="n">
        <x:v>3259</x:v>
      </x:c>
      <x:c r="C23" s="18" t="n">
        <x:v>3035</x:v>
      </x:c>
      <x:c r="D23" s="18" t="n">
        <x:v>1553</x:v>
      </x:c>
      <x:c r="E23" s="52" t="n">
        <x:f>B23*(('Nowcast Scenarios'!$B$5/SUM('Nowcast Scenarios'!$B$5:$D$5))/$B$57)</x:f>
        <x:v>2967.255182612128</x:v>
      </x:c>
      <x:c r="F23" s="52" t="n">
        <x:f>C23*(('Nowcast Scenarios'!$C$5/SUM('Nowcast Scenarios'!$B$5:$D$5))/$C$57)</x:f>
        <x:v>3450.385847358322</x:v>
      </x:c>
      <x:c r="G23" s="52" t="n">
        <x:f>D23*(('Nowcast Scenarios'!$D$5/SUM('Nowcast Scenarios'!$B$5:$D$5))/$D$57)</x:f>
        <x:v>1499.1105661278766</x:v>
      </x:c>
      <x:c r="H23" s="18" t="str">
        <x:f>IF(MAX(E23:G23)=E23,"Liberal",IF(MAX(E23:G23)=F23,"PC","Green"))</x:f>
        <x:v>PC</x:v>
      </x:c>
      <x:c r="I23" s="52" t="n">
        <x:f>B23*(('Nowcast Scenarios'!$B$6/SUM('Nowcast Scenarios'!$B$6:$D$6))/$B$57)</x:f>
        <x:v>3164.7549261219974</x:v>
      </x:c>
      <x:c r="J23" s="52" t="n">
        <x:f>C23*(('Nowcast Scenarios'!$C$6/SUM('Nowcast Scenarios'!$B$6:$D$6))/$C$57)</x:f>
        <x:v>3043.1121863306157</x:v>
      </x:c>
      <x:c r="K23" s="52" t="n">
        <x:f>D23*(('Nowcast Scenarios'!$D$6/SUM('Nowcast Scenarios'!$B$6:$D$6))/$D$57)</x:f>
        <x:v>1699.9198064182153</x:v>
      </x:c>
      <x:c r="L23" s="18" t="str">
        <x:f>IF(MAX(I23:K23)=I23,"Liberal",IF(MAX(I23:K23)=J23,"PC","Green"))</x:f>
        <x:v>Liberal</x:v>
      </x:c>
      <x:c r="M23" s="52" t="n">
        <x:f>B23*(('Nowcast Scenarios'!$B$7/SUM('Nowcast Scenarios'!$B$7:$D$7))/$B$57)</x:f>
        <x:v>3277.781887769211</x:v>
      </x:c>
      <x:c r="N23" s="52" t="n">
        <x:f>C23*(('Nowcast Scenarios'!$C$7/SUM('Nowcast Scenarios'!$B$7:$D$7))/$C$57)</x:f>
        <x:v>2894.9818576838343</x:v>
      </x:c>
      <x:c r="O23" s="52" t="n">
        <x:f>D23*(('Nowcast Scenarios'!$D$7/SUM('Nowcast Scenarios'!$B$7:$D$7))/$D$57)</x:f>
        <x:v>1704.117139273569</x:v>
      </x:c>
      <x:c r="P23" s="18" t="str">
        <x:f>IF(MAX(M23:O23)=M23,"Liberal",IF(MAX(M23:O23)=N23,"PC","Green"))</x:f>
        <x:v>Liberal</x:v>
      </x:c>
      <x:c r="Q23" s="52" t="n">
        <x:f>B23*(('Nowcast Scenarios'!$B$8/SUM('Nowcast Scenarios'!$B$8:$D$8))/$B$57)</x:f>
        <x:v>3158.4758037431934</x:v>
      </x:c>
      <x:c r="R23" s="52" t="n">
        <x:f>C23*(('Nowcast Scenarios'!$C$8/SUM('Nowcast Scenarios'!$B$8:$D$8))/$C$57)</x:f>
        <x:v>3093.314312083006</x:v>
      </x:c>
      <x:c r="S23" s="52" t="n">
        <x:f>D23*(('Nowcast Scenarios'!$D$8/SUM('Nowcast Scenarios'!$B$8:$D$8))/$D$57)</x:f>
        <x:v>1644.9779944309582</x:v>
      </x:c>
      <x:c r="T23" s="18" t="str">
        <x:f>IF(MAX(Q23:S23)=Q23,"Liberal",IF(MAX(Q23:S23)=R23,"PC","Green"))</x:f>
        <x:v>Liberal</x:v>
      </x:c>
      <x:c r="U23" s="52" t="n">
        <x:f>B23*(('Nowcast Scenarios'!$B$9/SUM('Nowcast Scenarios'!$B$9:$D$9))/$B$57)</x:f>
        <x:v>2975.4995339489165</x:v>
      </x:c>
      <x:c r="V23" s="52" t="n">
        <x:f>C23*(('Nowcast Scenarios'!$C$9/SUM('Nowcast Scenarios'!$B$9:$D$9))/$C$57)</x:f>
        <x:v>3327.9053328386394</x:v>
      </x:c>
      <x:c r="W23" s="52" t="n">
        <x:f>D23*(('Nowcast Scenarios'!$D$9/SUM('Nowcast Scenarios'!$B$9:$D$9))/$D$57)</x:f>
        <x:v>1644.9779944309582</x:v>
      </x:c>
      <x:c r="X23" s="18" t="str">
        <x:f>IF(MAX(U23:W23)=U23,"Liberal",IF(MAX(U23:W23)=V23,"PC","Green"))</x:f>
        <x:v>PC</x:v>
      </x:c>
      <x:c r="Y23" s="52" t="n">
        <x:f>B23*(('Nowcast Scenarios'!$B$10/SUM('Nowcast Scenarios'!$B$10:$D$10))/$B$57)</x:f>
        <x:v>2423.6431042493764</x:v>
      </x:c>
      <x:c r="Z23" s="52" t="n">
        <x:f>C23*(('Nowcast Scenarios'!$C$10/SUM('Nowcast Scenarios'!$B$10:$D$10))/$C$57)</x:f>
        <x:v>4035.431851437628</x:v>
      </x:c>
      <x:c r="AA23" s="52" t="n">
        <x:f>D23*(('Nowcast Scenarios'!$D$10/SUM('Nowcast Scenarios'!$B$10:$D$10))/$D$57)</x:f>
        <x:v>1644.9779944309582</x:v>
      </x:c>
      <x:c r="AB23" s="18" t="str">
        <x:f>IF(MAX(Y23:AA23)=Y23,"Liberal",IF(MAX(Y23:AA23)=Z23,"PC","Green"))</x:f>
        <x:v>PC</x:v>
      </x:c>
      <x:c r="AC23" s="52" t="n">
        <x:f>B23*(('Nowcast Scenarios'!$B$11/SUM('Nowcast Scenarios'!$B$11:$D$11))/$B$57)</x:f>
        <x:v>2858.789830407764</x:v>
      </x:c>
      <x:c r="AD23" s="52" t="n">
        <x:f>C23*(('Nowcast Scenarios'!$C$11/SUM('Nowcast Scenarios'!$B$11:$D$11))/$C$57)</x:f>
        <x:v>3477.5370228746688</x:v>
      </x:c>
      <x:c r="AE23" s="52" t="n">
        <x:f>D23*(('Nowcast Scenarios'!$D$11/SUM('Nowcast Scenarios'!$B$11:$D$11))/$D$57)</x:f>
        <x:v>1644.9779944309582</x:v>
      </x:c>
      <x:c r="AF23" s="18" t="str">
        <x:f>IF(MAX(AC23:AE23)=AC23,"Liberal",IF(MAX(AC23:AE23)=AD23,"PC","Green"))</x:f>
        <x:v>PC</x:v>
      </x:c>
      <x:c r="AG23" s="52" t="n">
        <x:f>B23*(('Nowcast Scenarios'!$B$12/SUM('Nowcast Scenarios'!$B$12:$D$12))/$B$57)</x:f>
        <x:v>2785.5993224900535</x:v>
      </x:c>
      <x:c r="AH23" s="52" t="n">
        <x:f>C23*(('Nowcast Scenarios'!$C$12/SUM('Nowcast Scenarios'!$B$12:$D$12))/$C$57)</x:f>
        <x:v>3571.3734311769226</x:v>
      </x:c>
      <x:c r="AI23" s="52" t="n">
        <x:f>D23*(('Nowcast Scenarios'!$D$12/SUM('Nowcast Scenarios'!$B$12:$D$12))/$D$57)</x:f>
        <x:v>1644.9779944309582</x:v>
      </x:c>
      <x:c r="AJ23" s="18" t="str">
        <x:f>IF(MAX(AG23:AI23)=AG23,"Liberal",IF(MAX(AG23:AI23)=AH23,"PC","Green"))</x:f>
        <x:v>PC</x:v>
      </x:c>
    </x:row>
    <x:row r="24">
      <x:c r="A24" s="18" t="str">
        <x:v>Hanwell-New Maryland</x:v>
      </x:c>
      <x:c r="B24" s="18" t="n">
        <x:v>4006</x:v>
      </x:c>
      <x:c r="C24" s="18" t="n">
        <x:v>3948</x:v>
      </x:c>
      <x:c r="D24" s="18" t="n">
        <x:v>1051</x:v>
      </x:c>
      <x:c r="E24" s="52" t="n">
        <x:f>B24*(('Nowcast Scenarios'!$B$5/SUM('Nowcast Scenarios'!$B$5:$D$5))/$B$57)</x:f>
        <x:v>3647.3839403326742</x:v>
      </x:c>
      <x:c r="F24" s="52" t="n">
        <x:f>C24*(('Nowcast Scenarios'!$C$5/SUM('Nowcast Scenarios'!$B$5:$D$5))/$C$57)</x:f>
        <x:v>4488.343764537283</x:v>
      </x:c>
      <x:c r="G24" s="52" t="n">
        <x:f>D24*(('Nowcast Scenarios'!$D$5/SUM('Nowcast Scenarios'!$B$5:$D$5))/$D$57)</x:f>
        <x:v>1014.5300740504819</x:v>
      </x:c>
      <x:c r="H24" s="18" t="str">
        <x:f>IF(MAX(E24:G24)=E24,"Liberal",IF(MAX(E24:G24)=F24,"PC","Green"))</x:f>
        <x:v>PC</x:v>
      </x:c>
      <x:c r="I24" s="52" t="n">
        <x:f>B24*(('Nowcast Scenarios'!$B$6/SUM('Nowcast Scenarios'!$B$6:$D$6))/$B$57)</x:f>
        <x:v>3890.1528794245846</x:v>
      </x:c>
      <x:c r="J24" s="52" t="n">
        <x:f>C24*(('Nowcast Scenarios'!$C$6/SUM('Nowcast Scenarios'!$B$6:$D$6))/$C$57)</x:f>
        <x:v>3958.552524426119</x:v>
      </x:c>
      <x:c r="K24" s="52" t="n">
        <x:f>D24*(('Nowcast Scenarios'!$D$6/SUM('Nowcast Scenarios'!$B$6:$D$6))/$D$57)</x:f>
        <x:v>1150.4286648715674</x:v>
      </x:c>
      <x:c r="L24" s="18" t="str">
        <x:f>IF(MAX(I24:K24)=I24,"Liberal",IF(MAX(I24:K24)=J24,"PC","Green"))</x:f>
        <x:v>PC</x:v>
      </x:c>
      <x:c r="M24" s="52" t="n">
        <x:f>B24*(('Nowcast Scenarios'!$B$7/SUM('Nowcast Scenarios'!$B$7:$D$7))/$B$57)</x:f>
        <x:v>4029.086910832605</x:v>
      </x:c>
      <x:c r="N24" s="52" t="n">
        <x:f>C24*(('Nowcast Scenarios'!$C$7/SUM('Nowcast Scenarios'!$B$7:$D$7))/$C$57)</x:f>
        <x:v>3765.8610787926777</x:v>
      </x:c>
      <x:c r="O24" s="52" t="n">
        <x:f>D24*(('Nowcast Scenarios'!$D$7/SUM('Nowcast Scenarios'!$B$7:$D$7))/$D$57)</x:f>
        <x:v>1153.2692294761887</x:v>
      </x:c>
      <x:c r="P24" s="18" t="str">
        <x:f>IF(MAX(M24:O24)=M24,"Liberal",IF(MAX(M24:O24)=N24,"PC","Green"))</x:f>
        <x:v>Liberal</x:v>
      </x:c>
      <x:c r="Q24" s="52" t="n">
        <x:f>B24*(('Nowcast Scenarios'!$B$8/SUM('Nowcast Scenarios'!$B$8:$D$8))/$B$57)</x:f>
        <x:v>3882.434510523238</x:v>
      </x:c>
      <x:c r="R24" s="52" t="n">
        <x:f>C24*(('Nowcast Scenarios'!$C$8/SUM('Nowcast Scenarios'!$B$8:$D$8))/$C$57)</x:f>
        <x:v>4023.8566405613537</x:v>
      </x:c>
      <x:c r="S24" s="52" t="n">
        <x:f>D24*(('Nowcast Scenarios'!$D$8/SUM('Nowcast Scenarios'!$B$8:$D$8))/$D$57)</x:f>
        <x:v>1113.2465371197277</x:v>
      </x:c>
      <x:c r="T24" s="18" t="str">
        <x:f>IF(MAX(Q24:S24)=Q24,"Liberal",IF(MAX(Q24:S24)=R24,"PC","Green"))</x:f>
        <x:v>PC</x:v>
      </x:c>
      <x:c r="U24" s="52" t="n">
        <x:f>B24*(('Nowcast Scenarios'!$B$9/SUM('Nowcast Scenarios'!$B$9:$D$9))/$B$57)</x:f>
        <x:v>3657.517991101368</x:v>
      </x:c>
      <x:c r="V24" s="52" t="n">
        <x:f>C24*(('Nowcast Scenarios'!$C$9/SUM('Nowcast Scenarios'!$B$9:$D$9))/$C$57)</x:f>
        <x:v>4329.018205616787</x:v>
      </x:c>
      <x:c r="W24" s="52" t="n">
        <x:f>D24*(('Nowcast Scenarios'!$D$9/SUM('Nowcast Scenarios'!$B$9:$D$9))/$D$57)</x:f>
        <x:v>1113.2465371197277</x:v>
      </x:c>
      <x:c r="X24" s="18" t="str">
        <x:f>IF(MAX(U24:W24)=U24,"Liberal",IF(MAX(U24:W24)=V24,"PC","Green"))</x:f>
        <x:v>PC</x:v>
      </x:c>
      <x:c r="Y24" s="52" t="n">
        <x:f>B24*(('Nowcast Scenarios'!$B$10/SUM('Nowcast Scenarios'!$B$10:$D$10))/$B$57)</x:f>
        <x:v>2979.1697685250083</x:v>
      </x:c>
      <x:c r="Z24" s="52" t="n">
        <x:f>C24*(('Nowcast Scenarios'!$C$10/SUM('Nowcast Scenarios'!$B$10:$D$10))/$C$57)</x:f>
        <x:v>5249.385485823973</x:v>
      </x:c>
      <x:c r="AA24" s="52" t="n">
        <x:f>D24*(('Nowcast Scenarios'!$D$10/SUM('Nowcast Scenarios'!$B$10:$D$10))/$D$57)</x:f>
        <x:v>1113.2465371197277</x:v>
      </x:c>
      <x:c r="AB24" s="18" t="str">
        <x:f>IF(MAX(Y24:AA24)=Y24,"Liberal",IF(MAX(Y24:AA24)=Z24,"PC","Green"))</x:f>
        <x:v>PC</x:v>
      </x:c>
      <x:c r="AC24" s="52" t="n">
        <x:f>B24*(('Nowcast Scenarios'!$B$11/SUM('Nowcast Scenarios'!$B$11:$D$11))/$B$57)</x:f>
        <x:v>3514.057091320498</x:v>
      </x:c>
      <x:c r="AD24" s="52" t="n">
        <x:f>C24*(('Nowcast Scenarios'!$C$11/SUM('Nowcast Scenarios'!$B$11:$D$11))/$C$57)</x:f>
        <x:v>4523.662657762502</x:v>
      </x:c>
      <x:c r="AE24" s="52" t="n">
        <x:f>D24*(('Nowcast Scenarios'!$D$11/SUM('Nowcast Scenarios'!$B$11:$D$11))/$D$57)</x:f>
        <x:v>1113.2465371197277</x:v>
      </x:c>
      <x:c r="AF24" s="18" t="str">
        <x:f>IF(MAX(AC24:AE24)=AC24,"Liberal",IF(MAX(AC24:AE24)=AD24,"PC","Green"))</x:f>
        <x:v>PC</x:v>
      </x:c>
      <x:c r="AG24" s="52" t="n">
        <x:f>B24*(('Nowcast Scenarios'!$B$12/SUM('Nowcast Scenarios'!$B$12:$D$12))/$B$57)</x:f>
        <x:v>3424.0904835517504</x:v>
      </x:c>
      <x:c r="AH24" s="52" t="n">
        <x:f>C24*(('Nowcast Scenarios'!$C$12/SUM('Nowcast Scenarios'!$B$12:$D$12))/$C$57)</x:f>
        <x:v>4645.727283784676</x:v>
      </x:c>
      <x:c r="AI24" s="52" t="n">
        <x:f>D24*(('Nowcast Scenarios'!$D$12/SUM('Nowcast Scenarios'!$B$12:$D$12))/$D$57)</x:f>
        <x:v>1113.2465371197277</x:v>
      </x:c>
      <x:c r="AJ24" s="18" t="str">
        <x:f>IF(MAX(AG24:AI24)=AG24,"Liberal",IF(MAX(AG24:AI24)=AH24,"PC","Green"))</x:f>
        <x:v>PC</x:v>
      </x:c>
    </x:row>
    <x:row r="25">
      <x:c r="A25" s="18" t="str">
        <x:v>Hautes-Terres-Nepisiguit</x:v>
      </x:c>
      <x:c r="B25" s="18" t="n">
        <x:v>4675</x:v>
      </x:c>
      <x:c r="C25" s="18" t="n">
        <x:v>1454</x:v>
      </x:c>
      <x:c r="D25" s="18" t="n">
        <x:v>0</x:v>
      </x:c>
      <x:c r="E25" s="52" t="n">
        <x:f>B25*(('Nowcast Scenarios'!$B$5/SUM('Nowcast Scenarios'!$B$5:$D$5))/$B$57)</x:f>
        <x:v>4256.495237407701</x:v>
      </x:c>
      <x:c r="F25" s="52" t="n">
        <x:f>C25*(('Nowcast Scenarios'!$C$5/SUM('Nowcast Scenarios'!$B$5:$D$5))/$C$57)</x:f>
        <x:v>1653.001984203954</x:v>
      </x:c>
      <x:c r="G25" s="52" t="n">
        <x:f>D25*(('Nowcast Scenarios'!$D$5/SUM('Nowcast Scenarios'!$B$5:$D$5))/$D$57)</x:f>
        <x:v>0</x:v>
      </x:c>
      <x:c r="H25" s="18" t="str">
        <x:f>IF(MAX(E25:G25)=E25,"Liberal",IF(MAX(E25:G25)=F25,"PC","Green"))</x:f>
        <x:v>Liberal</x:v>
      </x:c>
      <x:c r="I25" s="52" t="n">
        <x:f>B25*(('Nowcast Scenarios'!$B$6/SUM('Nowcast Scenarios'!$B$6:$D$6))/$B$57)</x:f>
        <x:v>4539.806468125295</x:v>
      </x:c>
      <x:c r="J25" s="52" t="n">
        <x:f>C25*(('Nowcast Scenarios'!$C$6/SUM('Nowcast Scenarios'!$B$6:$D$6))/$C$57)</x:f>
        <x:v>1457.886365378819</x:v>
      </x:c>
      <x:c r="K25" s="52" t="n">
        <x:f>D25*(('Nowcast Scenarios'!$D$6/SUM('Nowcast Scenarios'!$B$6:$D$6))/$D$57)</x:f>
        <x:v>0</x:v>
      </x:c>
      <x:c r="L25" s="18" t="str">
        <x:f>IF(MAX(I25:K25)=I25,"Liberal",IF(MAX(I25:K25)=J25,"PC","Green"))</x:f>
        <x:v>Liberal</x:v>
      </x:c>
      <x:c r="M25" s="52" t="n">
        <x:f>B25*(('Nowcast Scenarios'!$B$7/SUM('Nowcast Scenarios'!$B$7:$D$7))/$B$57)</x:f>
        <x:v>4701.942413415484</x:v>
      </x:c>
      <x:c r="N25" s="52" t="n">
        <x:f>C25*(('Nowcast Scenarios'!$C$7/SUM('Nowcast Scenarios'!$B$7:$D$7))/$C$57)</x:f>
        <x:v>1386.9204682281038</x:v>
      </x:c>
      <x:c r="O25" s="52" t="n">
        <x:f>D25*(('Nowcast Scenarios'!$D$7/SUM('Nowcast Scenarios'!$B$7:$D$7))/$D$57)</x:f>
        <x:v>0</x:v>
      </x:c>
      <x:c r="P25" s="18" t="str">
        <x:f>IF(MAX(M25:O25)=M25,"Liberal",IF(MAX(M25:O25)=N25,"PC","Green"))</x:f>
        <x:v>Liberal</x:v>
      </x:c>
      <x:c r="Q25" s="52" t="n">
        <x:f>B25*(('Nowcast Scenarios'!$B$8/SUM('Nowcast Scenarios'!$B$8:$D$8))/$B$57)</x:f>
        <x:v>4530.799135470828</x:v>
      </x:c>
      <x:c r="R25" s="52" t="n">
        <x:f>C25*(('Nowcast Scenarios'!$C$8/SUM('Nowcast Scenarios'!$B$8:$D$8))/$C$57)</x:f>
        <x:v>1481.937070763984</x:v>
      </x:c>
      <x:c r="S25" s="52" t="n">
        <x:f>D25*(('Nowcast Scenarios'!$D$8/SUM('Nowcast Scenarios'!$B$8:$D$8))/$D$57)</x:f>
        <x:v>0</x:v>
      </x:c>
      <x:c r="T25" s="18" t="str">
        <x:f>IF(MAX(Q25:S25)=Q25,"Liberal",IF(MAX(Q25:S25)=R25,"PC","Green"))</x:f>
        <x:v>Liberal</x:v>
      </x:c>
      <x:c r="U25" s="52" t="n">
        <x:f>B25*(('Nowcast Scenarios'!$B$9/SUM('Nowcast Scenarios'!$B$9:$D$9))/$B$57)</x:f>
        <x:v>4268.321669595331</x:v>
      </x:c>
      <x:c r="V25" s="52" t="n">
        <x:f>C25*(('Nowcast Scenarios'!$C$9/SUM('Nowcast Scenarios'!$B$9:$D$9))/$C$57)</x:f>
        <x:v>1594.3243340848046</x:v>
      </x:c>
      <x:c r="W25" s="52" t="n">
        <x:f>D25*(('Nowcast Scenarios'!$D$9/SUM('Nowcast Scenarios'!$B$9:$D$9))/$D$57)</x:f>
        <x:v>0</x:v>
      </x:c>
      <x:c r="X25" s="18" t="str">
        <x:f>IF(MAX(U25:W25)=U25,"Liberal",IF(MAX(U25:W25)=V25,"PC","Green"))</x:f>
        <x:v>Liberal</x:v>
      </x:c>
      <x:c r="Y25" s="52" t="n">
        <x:f>B25*(('Nowcast Scenarios'!$B$10/SUM('Nowcast Scenarios'!$B$10:$D$10))/$B$57)</x:f>
        <x:v>3476.6896325148314</x:v>
      </x:c>
      <x:c r="Z25" s="52" t="n">
        <x:f>C25*(('Nowcast Scenarios'!$C$10/SUM('Nowcast Scenarios'!$B$10:$D$10))/$C$57)</x:f>
        <x:v>1933.2843202603992</x:v>
      </x:c>
      <x:c r="AA25" s="52" t="n">
        <x:f>D25*(('Nowcast Scenarios'!$D$10/SUM('Nowcast Scenarios'!$B$10:$D$10))/$D$57)</x:f>
        <x:v>0</x:v>
      </x:c>
      <x:c r="AB25" s="18" t="str">
        <x:f>IF(MAX(Y25:AA25)=Y25,"Liberal",IF(MAX(Y25:AA25)=Z25,"PC","Green"))</x:f>
        <x:v>Liberal</x:v>
      </x:c>
      <x:c r="AC25" s="52" t="n">
        <x:f>B25*(('Nowcast Scenarios'!$B$11/SUM('Nowcast Scenarios'!$B$11:$D$11))/$B$57)</x:f>
        <x:v>4100.902871174071</x:v>
      </x:c>
      <x:c r="AD25" s="52" t="n">
        <x:f>C25*(('Nowcast Scenarios'!$C$11/SUM('Nowcast Scenarios'!$B$11:$D$11))/$C$57)</x:f>
        <x:v>1666.009499591357</x:v>
      </x:c>
      <x:c r="AE25" s="52" t="n">
        <x:f>D25*(('Nowcast Scenarios'!$D$11/SUM('Nowcast Scenarios'!$B$11:$D$11))/$D$57)</x:f>
        <x:v>0</x:v>
      </x:c>
      <x:c r="AF25" s="18" t="str">
        <x:f>IF(MAX(AC25:AE25)=AC25,"Liberal",IF(MAX(AC25:AE25)=AD25,"PC","Green"))</x:f>
        <x:v>Liberal</x:v>
      </x:c>
      <x:c r="AG25" s="52" t="n">
        <x:f>B25*(('Nowcast Scenarios'!$B$12/SUM('Nowcast Scenarios'!$B$12:$D$12))/$B$57)</x:f>
        <x:v>3995.9118848238722</x:v>
      </x:c>
      <x:c r="AH25" s="52" t="n">
        <x:f>C25*(('Nowcast Scenarios'!$C$12/SUM('Nowcast Scenarios'!$B$12:$D$12))/$C$57)</x:f>
        <x:v>1710.9644049196854</x:v>
      </x:c>
      <x:c r="AI25" s="52" t="n">
        <x:f>D25*(('Nowcast Scenarios'!$D$12/SUM('Nowcast Scenarios'!$B$12:$D$12))/$D$57)</x:f>
        <x:v>0</x:v>
      </x:c>
      <x:c r="AJ25" s="18" t="str">
        <x:f>IF(MAX(AG25:AI25)=AG25,"Liberal",IF(MAX(AG25:AI25)=AH25,"PC","Green"))</x:f>
        <x:v>Liberal</x:v>
      </x:c>
    </x:row>
    <x:row r="26">
      <x:c r="A26" s="18" t="str">
        <x:v>Kent North</x:v>
      </x:c>
      <x:c r="B26" s="18" t="n">
        <x:v>3928</x:v>
      </x:c>
      <x:c r="C26" s="18" t="n">
        <x:v>1441</x:v>
      </x:c>
      <x:c r="D26" s="18" t="n">
        <x:v>3251</x:v>
      </x:c>
      <x:c r="E26" s="52" t="n">
        <x:f>B26*(('Nowcast Scenarios'!$B$5/SUM('Nowcast Scenarios'!$B$5:$D$5))/$B$57)</x:f>
        <x:v>3576.3664796871553</x:v>
      </x:c>
      <x:c r="F26" s="52" t="n">
        <x:f>C26*(('Nowcast Scenarios'!$C$5/SUM('Nowcast Scenarios'!$B$5:$D$5))/$C$57)</x:f>
        <x:v>1638.2227367523367</x:v>
      </x:c>
      <x:c r="G26" s="52" t="n">
        <x:f>D26*(('Nowcast Scenarios'!$D$5/SUM('Nowcast Scenarios'!$B$5:$D$5))/$D$57)</x:f>
        <x:v>3138.189601082889</x:v>
      </x:c>
      <x:c r="H26" s="18" t="str">
        <x:f>IF(MAX(E26:G26)=E26,"Liberal",IF(MAX(E26:G26)=F26,"PC","Green"))</x:f>
        <x:v>Liberal</x:v>
      </x:c>
      <x:c r="I26" s="52" t="n">
        <x:f>B26*(('Nowcast Scenarios'!$B$6/SUM('Nowcast Scenarios'!$B$6:$D$6))/$B$57)</x:f>
        <x:v>3814.408514822708</x:v>
      </x:c>
      <x:c r="J26" s="52" t="n">
        <x:f>C26*(('Nowcast Scenarios'!$C$6/SUM('Nowcast Scenarios'!$B$6:$D$6))/$C$57)</x:f>
        <x:v>1444.8516179579628</x:v>
      </x:c>
      <x:c r="K26" s="52" t="n">
        <x:f>D26*(('Nowcast Scenarios'!$D$6/SUM('Nowcast Scenarios'!$B$6:$D$6))/$D$57)</x:f>
        <x:v>3558.5571736417373</x:v>
      </x:c>
      <x:c r="L26" s="18" t="str">
        <x:f>IF(MAX(I26:K26)=I26,"Liberal",IF(MAX(I26:K26)=J26,"PC","Green"))</x:f>
        <x:v>Liberal</x:v>
      </x:c>
      <x:c r="M26" s="52" t="n">
        <x:f>B26*(('Nowcast Scenarios'!$B$7/SUM('Nowcast Scenarios'!$B$7:$D$7))/$B$57)</x:f>
        <x:v>3950.6373903520903</x:v>
      </x:c>
      <x:c r="N26" s="52" t="n">
        <x:f>C26*(('Nowcast Scenarios'!$C$7/SUM('Nowcast Scenarios'!$B$7:$D$7))/$C$57)</x:f>
        <x:v>1374.5202164488978</x:v>
      </x:c>
      <x:c r="O26" s="52" t="n">
        <x:f>D26*(('Nowcast Scenarios'!$D$7/SUM('Nowcast Scenarios'!$B$7:$D$7))/$D$57)</x:f>
        <x:v>3567.343734564309</x:v>
      </x:c>
      <x:c r="P26" s="18" t="str">
        <x:f>IF(MAX(M26:O26)=M26,"Liberal",IF(MAX(M26:O26)=N26,"PC","Green"))</x:f>
        <x:v>Liberal</x:v>
      </x:c>
      <x:c r="Q26" s="52" t="n">
        <x:f>B26*(('Nowcast Scenarios'!$B$8/SUM('Nowcast Scenarios'!$B$8:$D$8))/$B$57)</x:f>
        <x:v>3806.8404286907835</x:v>
      </x:c>
      <x:c r="R26" s="52" t="n">
        <x:f>C26*(('Nowcast Scenarios'!$C$8/SUM('Nowcast Scenarios'!$B$8:$D$8))/$C$57)</x:f>
        <x:v>1468.6872895260665</x:v>
      </x:c>
      <x:c r="S26" s="52" t="n">
        <x:f>D26*(('Nowcast Scenarios'!$D$8/SUM('Nowcast Scenarios'!$B$8:$D$8))/$D$57)</x:f>
        <x:v>3443.5437603960368</x:v>
      </x:c>
      <x:c r="T26" s="18" t="str">
        <x:f>IF(MAX(Q26:S26)=Q26,"Liberal",IF(MAX(Q26:S26)=R26,"PC","Green"))</x:f>
        <x:v>Liberal</x:v>
      </x:c>
      <x:c r="U26" s="52" t="n">
        <x:f>B26*(('Nowcast Scenarios'!$B$9/SUM('Nowcast Scenarios'!$B$9:$D$9))/$B$57)</x:f>
        <x:v>3586.303212442879</x:v>
      </x:c>
      <x:c r="V26" s="52" t="n">
        <x:f>C26*(('Nowcast Scenarios'!$C$9/SUM('Nowcast Scenarios'!$B$9:$D$9))/$C$57)</x:f>
        <x:v>1580.0697148667148</x:v>
      </x:c>
      <x:c r="W26" s="52" t="n">
        <x:f>D26*(('Nowcast Scenarios'!$D$9/SUM('Nowcast Scenarios'!$B$9:$D$9))/$D$57)</x:f>
        <x:v>3443.5437603960368</x:v>
      </x:c>
      <x:c r="X26" s="18" t="str">
        <x:f>IF(MAX(U26:W26)=U26,"Liberal",IF(MAX(U26:W26)=V26,"PC","Green"))</x:f>
        <x:v>Liberal</x:v>
      </x:c>
      <x:c r="Y26" s="52" t="n">
        <x:f>B26*(('Nowcast Scenarios'!$B$10/SUM('Nowcast Scenarios'!$B$10:$D$10))/$B$57)</x:f>
        <x:v>2921.1629682391995</x:v>
      </x:c>
      <x:c r="Z26" s="52" t="n">
        <x:f>C26*(('Nowcast Scenarios'!$C$10/SUM('Nowcast Scenarios'!$B$10:$D$10))/$C$57)</x:f>
        <x:v>1915.9991096941096</x:v>
      </x:c>
      <x:c r="AA26" s="52" t="n">
        <x:f>D26*(('Nowcast Scenarios'!$D$10/SUM('Nowcast Scenarios'!$B$10:$D$10))/$D$57)</x:f>
        <x:v>3443.5437603960368</x:v>
      </x:c>
      <x:c r="AB26" s="18" t="str">
        <x:f>IF(MAX(Y26:AA26)=Y26,"Liberal",IF(MAX(Y26:AA26)=Z26,"PC","Green"))</x:f>
        <x:v>Green</x:v>
      </x:c>
      <x:c r="AC26" s="52" t="n">
        <x:f>B26*(('Nowcast Scenarios'!$B$11/SUM('Nowcast Scenarios'!$B$11:$D$11))/$B$57)</x:f>
        <x:v>3445.6356102613368</x:v>
      </x:c>
      <x:c r="AD26" s="52" t="n">
        <x:f>C26*(('Nowcast Scenarios'!$C$11/SUM('Nowcast Scenarios'!$B$11:$D$11))/$C$57)</x:f>
        <x:v>1651.1139538591096</x:v>
      </x:c>
      <x:c r="AE26" s="52" t="n">
        <x:f>D26*(('Nowcast Scenarios'!$D$11/SUM('Nowcast Scenarios'!$B$11:$D$11))/$D$57)</x:f>
        <x:v>3443.5437603960368</x:v>
      </x:c>
      <x:c r="AF26" s="18" t="str">
        <x:f>IF(MAX(AC26:AE26)=AC26,"Liberal",IF(MAX(AC26:AE26)=AD26,"PC","Green"))</x:f>
        <x:v>Liberal</x:v>
      </x:c>
      <x:c r="AG26" s="52" t="n">
        <x:f>B26*(('Nowcast Scenarios'!$B$12/SUM('Nowcast Scenarios'!$B$12:$D$12))/$B$57)</x:f>
        <x:v>3357.4207237621754</x:v>
      </x:c>
      <x:c r="AH26" s="52" t="n">
        <x:f>C26*(('Nowcast Scenarios'!$C$12/SUM('Nowcast Scenarios'!$B$12:$D$12))/$C$57)</x:f>
        <x:v>1695.6669239953692</x:v>
      </x:c>
      <x:c r="AI26" s="52" t="n">
        <x:f>D26*(('Nowcast Scenarios'!$D$12/SUM('Nowcast Scenarios'!$B$12:$D$12))/$D$57)</x:f>
        <x:v>3443.5437603960368</x:v>
      </x:c>
      <x:c r="AJ26" s="18" t="str">
        <x:f>IF(MAX(AG26:AI26)=AG26,"Liberal",IF(MAX(AG26:AI26)=AH26,"PC","Green"))</x:f>
        <x:v>Green</x:v>
      </x:c>
    </x:row>
    <x:row r="27">
      <x:c r="A27" s="18" t="str">
        <x:v>Kings Centre</x:v>
      </x:c>
      <x:c r="B27" s="18" t="n">
        <x:v>2557</x:v>
      </x:c>
      <x:c r="C27" s="18" t="n">
        <x:v>3821</x:v>
      </x:c>
      <x:c r="D27" s="18" t="n">
        <x:v>1136</x:v>
      </x:c>
      <x:c r="E27" s="52" t="n">
        <x:f>B27*(('Nowcast Scenarios'!$B$5/SUM('Nowcast Scenarios'!$B$5:$D$5))/$B$57)</x:f>
        <x:v>2328.098036802458</x:v>
      </x:c>
      <x:c r="F27" s="52" t="n">
        <x:f>C27*(('Nowcast Scenarios'!$C$5/SUM('Nowcast Scenarios'!$B$5:$D$5))/$C$57)</x:f>
        <x:v>4343.961885586869</x:v>
      </x:c>
      <x:c r="G27" s="52" t="n">
        <x:f>D27*(('Nowcast Scenarios'!$D$5/SUM('Nowcast Scenarios'!$B$5:$D$5))/$D$57)</x:f>
        <x:v>1096.580555776734</x:v>
      </x:c>
      <x:c r="H27" s="18" t="str">
        <x:f>IF(MAX(E27:G27)=E27,"Liberal",IF(MAX(E27:G27)=F27,"PC","Green"))</x:f>
        <x:v>PC</x:v>
      </x:c>
      <x:c r="I27" s="52" t="n">
        <x:f>B27*(('Nowcast Scenarios'!$B$6/SUM('Nowcast Scenarios'!$B$6:$D$6))/$B$57)</x:f>
        <x:v>2483.055644705108</x:v>
      </x:c>
      <x:c r="J27" s="52" t="n">
        <x:f>C27*(('Nowcast Scenarios'!$C$6/SUM('Nowcast Scenarios'!$B$6:$D$6))/$C$57)</x:f>
        <x:v>3831.213068853141</x:v>
      </x:c>
      <x:c r="K27" s="52" t="n">
        <x:f>D27*(('Nowcast Scenarios'!$D$6/SUM('Nowcast Scenarios'!$B$6:$D$6))/$D$57)</x:f>
        <x:v>1243.4699936195059</x:v>
      </x:c>
      <x:c r="L27" s="18" t="str">
        <x:f>IF(MAX(I27:K27)=I27,"Liberal",IF(MAX(I27:K27)=J27,"PC","Green"))</x:f>
        <x:v>PC</x:v>
      </x:c>
      <x:c r="M27" s="52" t="n">
        <x:f>B27*(('Nowcast Scenarios'!$B$7/SUM('Nowcast Scenarios'!$B$7:$D$7))/$B$57)</x:f>
        <x:v>2571.736203444576</x:v>
      </x:c>
      <x:c r="N27" s="52" t="n">
        <x:f>C27*(('Nowcast Scenarios'!$C$7/SUM('Nowcast Scenarios'!$B$7:$D$7))/$C$57)</x:f>
        <x:v>3644.720157565051</x:v>
      </x:c>
      <x:c r="O27" s="52" t="n">
        <x:f>D27*(('Nowcast Scenarios'!$D$7/SUM('Nowcast Scenarios'!$B$7:$D$7))/$D$57)</x:f>
        <x:v>1246.5402899000478</x:v>
      </x:c>
      <x:c r="P27" s="18" t="str">
        <x:f>IF(MAX(M27:O27)=M27,"Liberal",IF(MAX(M27:O27)=N27,"PC","Green"))</x:f>
        <x:v>PC</x:v>
      </x:c>
      <x:c r="Q27" s="52" t="n">
        <x:f>B27*(('Nowcast Scenarios'!$B$8/SUM('Nowcast Scenarios'!$B$8:$D$8))/$B$57)</x:f>
        <x:v>2478.129067251103</x:v>
      </x:c>
      <x:c r="R27" s="52" t="n">
        <x:f>C27*(('Nowcast Scenarios'!$C$8/SUM('Nowcast Scenarios'!$B$8:$D$8))/$C$57)</x:f>
        <x:v>3894.416470006315</x:v>
      </x:c>
      <x:c r="S27" s="52" t="n">
        <x:f>D27*(('Nowcast Scenarios'!$D$8/SUM('Nowcast Scenarios'!$B$8:$D$8))/$D$57)</x:f>
        <x:v>1203.2807480190397</x:v>
      </x:c>
      <x:c r="T27" s="18" t="str">
        <x:f>IF(MAX(Q27:S27)=Q27,"Liberal",IF(MAX(Q27:S27)=R27,"PC","Green"))</x:f>
        <x:v>PC</x:v>
      </x:c>
      <x:c r="U27" s="52" t="n">
        <x:f>B27*(('Nowcast Scenarios'!$B$9/SUM('Nowcast Scenarios'!$B$9:$D$9))/$B$57)</x:f>
        <x:v>2334.566526022516</x:v>
      </x:c>
      <x:c r="V27" s="52" t="n">
        <x:f>C27*(('Nowcast Scenarios'!$C$9/SUM('Nowcast Scenarios'!$B$9:$D$9))/$C$57)</x:f>
        <x:v>4189.761540947757</x:v>
      </x:c>
      <x:c r="W27" s="52" t="n">
        <x:f>D27*(('Nowcast Scenarios'!$D$9/SUM('Nowcast Scenarios'!$B$9:$D$9))/$D$57)</x:f>
        <x:v>1203.2807480190397</x:v>
      </x:c>
      <x:c r="X27" s="18" t="str">
        <x:f>IF(MAX(U27:W27)=U27,"Liberal",IF(MAX(U27:W27)=V27,"PC","Green"))</x:f>
        <x:v>PC</x:v>
      </x:c>
      <x:c r="Y27" s="52" t="n">
        <x:f>B27*(('Nowcast Scenarios'!$B$10/SUM('Nowcast Scenarios'!$B$10:$D$10))/$B$57)</x:f>
        <x:v>1901.5819016770959</x:v>
      </x:c>
      <x:c r="Z27" s="52" t="n">
        <x:f>C27*(('Nowcast Scenarios'!$C$10/SUM('Nowcast Scenarios'!$B$10:$D$10))/$C$57)</x:f>
        <x:v>5080.522274907143</x:v>
      </x:c>
      <x:c r="AA27" s="52" t="n">
        <x:f>D27*(('Nowcast Scenarios'!$D$10/SUM('Nowcast Scenarios'!$B$10:$D$10))/$D$57)</x:f>
        <x:v>1203.2807480190397</x:v>
      </x:c>
      <x:c r="AB27" s="18" t="str">
        <x:f>IF(MAX(Y27:AA27)=Y27,"Liberal",IF(MAX(Y27:AA27)=Z27,"PC","Green"))</x:f>
        <x:v>PC</x:v>
      </x:c>
      <x:c r="AC27" s="52" t="n">
        <x:f>B27*(('Nowcast Scenarios'!$B$11/SUM('Nowcast Scenarios'!$B$11:$D$11))/$B$57)</x:f>
        <x:v>2242.996500875315</x:v>
      </x:c>
      <x:c r="AD27" s="52" t="n">
        <x:f>C27*(('Nowcast Scenarios'!$C$11/SUM('Nowcast Scenarios'!$B$11:$D$11))/$C$57)</x:f>
        <x:v>4378.144634070547</x:v>
      </x:c>
      <x:c r="AE27" s="52" t="n">
        <x:f>D27*(('Nowcast Scenarios'!$D$11/SUM('Nowcast Scenarios'!$B$11:$D$11))/$D$57)</x:f>
        <x:v>1203.2807480190397</x:v>
      </x:c>
      <x:c r="AF27" s="18" t="str">
        <x:f>IF(MAX(AC27:AE27)=AC27,"Liberal",IF(MAX(AC27:AE27)=AD27,"PC","Green"))</x:f>
        <x:v>PC</x:v>
      </x:c>
      <x:c r="AG27" s="52" t="n">
        <x:f>B27*(('Nowcast Scenarios'!$B$12/SUM('Nowcast Scenarios'!$B$12:$D$12))/$B$57)</x:f>
        <x:v>2185.5714843838805</x:v>
      </x:c>
      <x:c r="AH27" s="52" t="n">
        <x:f>C27*(('Nowcast Scenarios'!$C$12/SUM('Nowcast Scenarios'!$B$12:$D$12))/$C$57)</x:f>
        <x:v>4496.282662447124</x:v>
      </x:c>
      <x:c r="AI27" s="52" t="n">
        <x:f>D27*(('Nowcast Scenarios'!$D$12/SUM('Nowcast Scenarios'!$B$12:$D$12))/$D$57)</x:f>
        <x:v>1203.2807480190397</x:v>
      </x:c>
      <x:c r="AJ27" s="18" t="str">
        <x:f>IF(MAX(AG27:AI27)=AG27,"Liberal",IF(MAX(AG27:AI27)=AH27,"PC","Green"))</x:f>
        <x:v>PC</x:v>
      </x:c>
    </x:row>
    <x:row r="28">
      <x:c r="A28" s="18" t="str">
        <x:v>Madawaska Les Lacs-Edmundston</x:v>
      </x:c>
      <x:c r="B28" s="18" t="n">
        <x:v>4798</x:v>
      </x:c>
      <x:c r="C28" s="18" t="n">
        <x:v>1970</x:v>
      </x:c>
      <x:c r="D28" s="18" t="n">
        <x:v>218</x:v>
      </x:c>
      <x:c r="E28" s="52" t="n">
        <x:f>B28*(('Nowcast Scenarios'!$B$5/SUM('Nowcast Scenarios'!$B$5:$D$5))/$B$57)</x:f>
        <x:v>4368.484309964097</x:v>
      </x:c>
      <x:c r="F28" s="52" t="n">
        <x:f>C28*(('Nowcast Scenarios'!$C$5/SUM('Nowcast Scenarios'!$B$5:$D$5))/$C$57)</x:f>
        <x:v>2239.624421514298</x:v>
      </x:c>
      <x:c r="G28" s="52" t="n">
        <x:f>D28*(('Nowcast Scenarios'!$D$5/SUM('Nowcast Scenarios'!$B$5:$D$5))/$D$57)</x:f>
        <x:v>210.43535313321127</x:v>
      </x:c>
      <x:c r="H28" s="18" t="str">
        <x:f>IF(MAX(E28:G28)=E28,"Liberal",IF(MAX(E28:G28)=F28,"PC","Green"))</x:f>
        <x:v>Liberal</x:v>
      </x:c>
      <x:c r="I28" s="52" t="n">
        <x:f>B28*(('Nowcast Scenarios'!$B$6/SUM('Nowcast Scenarios'!$B$6:$D$6))/$B$57)</x:f>
        <x:v>4659.24950461287</x:v>
      </x:c>
      <x:c r="J28" s="52" t="n">
        <x:f>C28*(('Nowcast Scenarios'!$C$6/SUM('Nowcast Scenarios'!$B$6:$D$6))/$C$57)</x:f>
        <x:v>1975.26557069895</x:v>
      </x:c>
      <x:c r="K28" s="52" t="n">
        <x:f>D28*(('Nowcast Scenarios'!$D$6/SUM('Nowcast Scenarios'!$B$6:$D$6))/$D$57)</x:f>
        <x:v>238.62364314177137</x:v>
      </x:c>
      <x:c r="L28" s="18" t="str">
        <x:f>IF(MAX(I28:K28)=I28,"Liberal",IF(MAX(I28:K28)=J28,"PC","Green"))</x:f>
        <x:v>Liberal</x:v>
      </x:c>
      <x:c r="M28" s="52" t="n">
        <x:f>B28*(('Nowcast Scenarios'!$B$7/SUM('Nowcast Scenarios'!$B$7:$D$7))/$B$57)</x:f>
        <x:v>4825.651272634758</x:v>
      </x:c>
      <x:c r="N28" s="52" t="n">
        <x:f>C28*(('Nowcast Scenarios'!$C$7/SUM('Nowcast Scenarios'!$B$7:$D$7))/$C$57)</x:f>
        <x:v>1879.1150773104293</x:v>
      </x:c>
      <x:c r="O28" s="52" t="n">
        <x:f>D28*(('Nowcast Scenarios'!$D$7/SUM('Nowcast Scenarios'!$B$7:$D$7))/$D$57)</x:f>
        <x:v>239.21283732236833</x:v>
      </x:c>
      <x:c r="P28" s="18" t="str">
        <x:f>IF(MAX(M28:O28)=M28,"Liberal",IF(MAX(M28:O28)=N28,"PC","Green"))</x:f>
        <x:v>Liberal</x:v>
      </x:c>
      <x:c r="Q28" s="52" t="n">
        <x:f>B28*(('Nowcast Scenarios'!$B$8/SUM('Nowcast Scenarios'!$B$8:$D$8))/$B$57)</x:f>
        <x:v>4650.005187591237</x:v>
      </x:c>
      <x:c r="R28" s="52" t="n">
        <x:f>C28*(('Nowcast Scenarios'!$C$8/SUM('Nowcast Scenarios'!$B$8:$D$8))/$C$57)</x:f>
        <x:v>2007.8514645151638</x:v>
      </x:c>
      <x:c r="S28" s="52" t="n">
        <x:f>D28*(('Nowcast Scenarios'!$D$8/SUM('Nowcast Scenarios'!$B$8:$D$8))/$D$57)</x:f>
        <x:v>230.91127030647064</x:v>
      </x:c>
      <x:c r="T28" s="18" t="str">
        <x:f>IF(MAX(Q28:S28)=Q28,"Liberal",IF(MAX(Q28:S28)=R28,"PC","Green"))</x:f>
        <x:v>Liberal</x:v>
      </x:c>
      <x:c r="U28" s="52" t="n">
        <x:f>B28*(('Nowcast Scenarios'!$B$9/SUM('Nowcast Scenarios'!$B$9:$D$9))/$B$57)</x:f>
        <x:v>4380.621897479871</x:v>
      </x:c>
      <x:c r="V28" s="52" t="n">
        <x:f>C28*(('Nowcast Scenarios'!$C$9/SUM('Nowcast Scenarios'!$B$9:$D$9))/$C$57)</x:f>
        <x:v>2160.123066125904</x:v>
      </x:c>
      <x:c r="W28" s="52" t="n">
        <x:f>D28*(('Nowcast Scenarios'!$D$9/SUM('Nowcast Scenarios'!$B$9:$D$9))/$D$57)</x:f>
        <x:v>230.91127030647064</x:v>
      </x:c>
      <x:c r="X28" s="18" t="str">
        <x:f>IF(MAX(U28:W28)=U28,"Liberal",IF(MAX(U28:W28)=V28,"PC","Green"))</x:f>
        <x:v>Liberal</x:v>
      </x:c>
      <x:c r="Y28" s="52" t="n">
        <x:f>B28*(('Nowcast Scenarios'!$B$10/SUM('Nowcast Scenarios'!$B$10:$D$10))/$B$57)</x:f>
        <x:v>3568.161894503992</x:v>
      </x:c>
      <x:c r="Z28" s="52" t="n">
        <x:f>C28*(('Nowcast Scenarios'!$C$10/SUM('Nowcast Scenarios'!$B$10:$D$10))/$C$57)</x:f>
        <x:v>2619.374216583897</x:v>
      </x:c>
      <x:c r="AA28" s="52" t="n">
        <x:f>D28*(('Nowcast Scenarios'!$D$10/SUM('Nowcast Scenarios'!$B$10:$D$10))/$D$57)</x:f>
        <x:v>230.91127030647064</x:v>
      </x:c>
      <x:c r="AB28" s="18" t="str">
        <x:f>IF(MAX(Y28:AA28)=Y28,"Liberal",IF(MAX(Y28:AA28)=Z28,"PC","Green"))</x:f>
        <x:v>Liberal</x:v>
      </x:c>
      <x:c r="AC28" s="52" t="n">
        <x:f>B28*(('Nowcast Scenarios'!$B$11/SUM('Nowcast Scenarios'!$B$11:$D$11))/$B$57)</x:f>
        <x:v>4208.798283613517</x:v>
      </x:c>
      <x:c r="AD28" s="52" t="n">
        <x:f>C28*(('Nowcast Scenarios'!$C$11/SUM('Nowcast Scenarios'!$B$11:$D$11))/$C$57)</x:f>
        <x:v>2257.248084040559</x:v>
      </x:c>
      <x:c r="AE28" s="52" t="n">
        <x:f>D28*(('Nowcast Scenarios'!$D$11/SUM('Nowcast Scenarios'!$B$11:$D$11))/$D$57)</x:f>
        <x:v>230.91127030647064</x:v>
      </x:c>
      <x:c r="AF28" s="18" t="str">
        <x:f>IF(MAX(AC28:AE28)=AC28,"Liberal",IF(MAX(AC28:AE28)=AD28,"PC","Green"))</x:f>
        <x:v>Liberal</x:v>
      </x:c>
      <x:c r="AG28" s="52" t="n">
        <x:f>B28*(('Nowcast Scenarios'!$B$12/SUM('Nowcast Scenarios'!$B$12:$D$12))/$B$57)</x:f>
        <x:v>4101.044967568971</x:v>
      </x:c>
      <x:c r="AH28" s="52" t="n">
        <x:f>C28*(('Nowcast Scenarios'!$C$12/SUM('Nowcast Scenarios'!$B$12:$D$12))/$C$57)</x:f>
        <x:v>2318.156724684856</x:v>
      </x:c>
      <x:c r="AI28" s="52" t="n">
        <x:f>D28*(('Nowcast Scenarios'!$D$12/SUM('Nowcast Scenarios'!$B$12:$D$12))/$D$57)</x:f>
        <x:v>230.91127030647064</x:v>
      </x:c>
      <x:c r="AJ28" s="18" t="str">
        <x:f>IF(MAX(AG28:AI28)=AG28,"Liberal",IF(MAX(AG28:AI28)=AH28,"PC","Green"))</x:f>
        <x:v>Liberal</x:v>
      </x:c>
    </x:row>
    <x:row r="29">
      <x:c r="A29" s="18" t="str">
        <x:v>Miramichi Bay-Neguac</x:v>
      </x:c>
      <x:c r="B29" s="18" t="n">
        <x:v>4219</x:v>
      </x:c>
      <x:c r="C29" s="18" t="n">
        <x:v>3146</x:v>
      </x:c>
      <x:c r="D29" s="18" t="n">
        <x:v>711</x:v>
      </x:c>
      <x:c r="E29" s="52" t="n">
        <x:f>B29*(('Nowcast Scenarios'!$B$5/SUM('Nowcast Scenarios'!$B$5:$D$5))/$B$57)</x:f>
        <x:v>3841.3162367108216</x:v>
      </x:c>
      <x:c r="F29" s="52" t="n">
        <x:f>C29*(('Nowcast Scenarios'!$C$5/SUM('Nowcast Scenarios'!$B$5:$D$5))/$C$57)</x:f>
        <x:v>3576.577883291361</x:v>
      </x:c>
      <x:c r="G29" s="52" t="n">
        <x:f>D29*(('Nowcast Scenarios'!$D$5/SUM('Nowcast Scenarios'!$B$5:$D$5))/$D$57)</x:f>
        <x:v>686.3281471454734</x:v>
      </x:c>
      <x:c r="H29" s="18" t="str">
        <x:f>IF(MAX(E29:G29)=E29,"Liberal",IF(MAX(E29:G29)=F29,"PC","Green"))</x:f>
        <x:v>Liberal</x:v>
      </x:c>
      <x:c r="I29" s="52" t="n">
        <x:f>B29*(('Nowcast Scenarios'!$B$6/SUM('Nowcast Scenarios'!$B$6:$D$6))/$B$57)</x:f>
        <x:v>4096.993259683555</x:v>
      </x:c>
      <x:c r="J29" s="52" t="n">
        <x:f>C29*(('Nowcast Scenarios'!$C$6/SUM('Nowcast Scenarios'!$B$6:$D$6))/$C$57)</x:f>
        <x:v>3154.4088758471557</x:v>
      </x:c>
      <x:c r="K29" s="52" t="n">
        <x:f>D29*(('Nowcast Scenarios'!$D$6/SUM('Nowcast Scenarios'!$B$6:$D$6))/$D$57)</x:f>
        <x:v>778.263349879814</x:v>
      </x:c>
      <x:c r="L29" s="18" t="str">
        <x:f>IF(MAX(I29:K29)=I29,"Liberal",IF(MAX(I29:K29)=J29,"PC","Green"))</x:f>
        <x:v>Liberal</x:v>
      </x:c>
      <x:c r="M29" s="52" t="n">
        <x:f>B29*(('Nowcast Scenarios'!$B$7/SUM('Nowcast Scenarios'!$B$7:$D$7))/$B$57)</x:f>
        <x:v>4243.314447529397</x:v>
      </x:c>
      <x:c r="N29" s="52" t="n">
        <x:f>C29*(('Nowcast Scenarios'!$C$7/SUM('Nowcast Scenarios'!$B$7:$D$7))/$C$57)</x:f>
        <x:v>3000.860930567823</x:v>
      </x:c>
      <x:c r="O29" s="52" t="n">
        <x:f>D29*(('Nowcast Scenarios'!$D$7/SUM('Nowcast Scenarios'!$B$7:$D$7))/$D$57)</x:f>
        <x:v>780.1849877807517</x:v>
      </x:c>
      <x:c r="P29" s="18" t="str">
        <x:f>IF(MAX(M29:O29)=M29,"Liberal",IF(MAX(M29:O29)=N29,"PC","Green"))</x:f>
        <x:v>Liberal</x:v>
      </x:c>
      <x:c r="Q29" s="52" t="n">
        <x:f>B29*(('Nowcast Scenarios'!$B$8/SUM('Nowcast Scenarios'!$B$8:$D$8))/$B$57)</x:f>
        <x:v>4088.864503219556</x:v>
      </x:c>
      <x:c r="R29" s="52" t="n">
        <x:f>C29*(('Nowcast Scenarios'!$C$8/SUM('Nowcast Scenarios'!$B$8:$D$8))/$C$57)</x:f>
        <x:v>3206.4470595759926</x:v>
      </x:c>
      <x:c r="S29" s="52" t="n">
        <x:f>D29*(('Nowcast Scenarios'!$D$8/SUM('Nowcast Scenarios'!$B$8:$D$8))/$D$57)</x:f>
        <x:v>753.1096935224799</x:v>
      </x:c>
      <x:c r="T29" s="18" t="str">
        <x:f>IF(MAX(Q29:S29)=Q29,"Liberal",IF(MAX(Q29:S29)=R29,"PC","Green"))</x:f>
        <x:v>Liberal</x:v>
      </x:c>
      <x:c r="U29" s="52" t="n">
        <x:f>B29*(('Nowcast Scenarios'!$B$9/SUM('Nowcast Scenarios'!$B$9:$D$9))/$B$57)</x:f>
        <x:v>3851.989117438011</x:v>
      </x:c>
      <x:c r="V29" s="52" t="n">
        <x:f>C29*(('Nowcast Scenarios'!$C$9/SUM('Nowcast Scenarios'!$B$9:$D$9))/$C$57)</x:f>
        <x:v>3449.617850777713</x:v>
      </x:c>
      <x:c r="W29" s="52" t="n">
        <x:f>D29*(('Nowcast Scenarios'!$D$9/SUM('Nowcast Scenarios'!$B$9:$D$9))/$D$57)</x:f>
        <x:v>753.1096935224799</x:v>
      </x:c>
      <x:c r="X29" s="18" t="str">
        <x:f>IF(MAX(U29:W29)=U29,"Liberal",IF(MAX(U29:W29)=V29,"PC","Green"))</x:f>
        <x:v>Liberal</x:v>
      </x:c>
      <x:c r="Y29" s="52" t="n">
        <x:f>B29*(('Nowcast Scenarios'!$B$10/SUM('Nowcast Scenarios'!$B$10:$D$10))/$B$57)</x:f>
        <x:v>3137.5729539208714</x:v>
      </x:c>
      <x:c r="Z29" s="52" t="n">
        <x:f>C29*(('Nowcast Scenarios'!$C$10/SUM('Nowcast Scenarios'!$B$10:$D$10))/$C$57)</x:f>
        <x:v>4183.020957042102</x:v>
      </x:c>
      <x:c r="AA29" s="52" t="n">
        <x:f>D29*(('Nowcast Scenarios'!$D$10/SUM('Nowcast Scenarios'!$B$10:$D$10))/$D$57)</x:f>
        <x:v>753.1096935224799</x:v>
      </x:c>
      <x:c r="AB29" s="18" t="str">
        <x:f>IF(MAX(Y29:AA29)=Y29,"Liberal",IF(MAX(Y29:AA29)=Z29,"PC","Green"))</x:f>
        <x:v>PC</x:v>
      </x:c>
      <x:c r="AC29" s="52" t="n">
        <x:f>B29*(('Nowcast Scenarios'!$B$11/SUM('Nowcast Scenarios'!$B$11:$D$11))/$B$57)</x:f>
        <x:v>3700.9003665205146</x:v>
      </x:c>
      <x:c r="AD29" s="52" t="n">
        <x:f>C29*(('Nowcast Scenarios'!$C$11/SUM('Nowcast Scenarios'!$B$11:$D$11))/$C$57)</x:f>
        <x:v>3604.722067203858</x:v>
      </x:c>
      <x:c r="AE29" s="52" t="n">
        <x:f>D29*(('Nowcast Scenarios'!$D$11/SUM('Nowcast Scenarios'!$B$11:$D$11))/$D$57)</x:f>
        <x:v>753.1096935224799</x:v>
      </x:c>
      <x:c r="AF29" s="18" t="str">
        <x:f>IF(MAX(AC29:AE29)=AC29,"Liberal",IF(MAX(AC29:AE29)=AD29,"PC","Green"))</x:f>
        <x:v>Liberal</x:v>
      </x:c>
      <x:c r="AG29" s="52" t="n">
        <x:f>B29*(('Nowcast Scenarios'!$B$12/SUM('Nowcast Scenarios'!$B$12:$D$12))/$B$57)</x:f>
        <x:v>3606.150212207897</x:v>
      </x:c>
      <x:c r="AH29" s="52" t="n">
        <x:f>C29*(('Nowcast Scenarios'!$C$12/SUM('Nowcast Scenarios'!$B$12:$D$12))/$C$57)</x:f>
        <x:v>3701.9903836845465</x:v>
      </x:c>
      <x:c r="AI29" s="52" t="n">
        <x:f>D29*(('Nowcast Scenarios'!$D$12/SUM('Nowcast Scenarios'!$B$12:$D$12))/$D$57)</x:f>
        <x:v>753.1096935224799</x:v>
      </x:c>
      <x:c r="AJ29" s="18" t="str">
        <x:f>IF(MAX(AG29:AI29)=AG29,"Liberal",IF(MAX(AG29:AI29)=AH29,"PC","Green"))</x:f>
        <x:v>PC</x:v>
      </x:c>
    </x:row>
    <x:row r="30">
      <x:c r="A30" s="18" t="str">
        <x:v>Miramichi East</x:v>
      </x:c>
      <x:c r="B30" s="18" t="n">
        <x:v>2921</x:v>
      </x:c>
      <x:c r="C30" s="18" t="n">
        <x:v>3633</x:v>
      </x:c>
      <x:c r="D30" s="18" t="n">
        <x:v>355</x:v>
      </x:c>
      <x:c r="E30" s="52" t="n">
        <x:f>B30*(('Nowcast Scenarios'!$B$5/SUM('Nowcast Scenarios'!$B$5:$D$5))/$B$57)</x:f>
        <x:v>2659.512853148213</x:v>
      </x:c>
      <x:c r="F30" s="52" t="n">
        <x:f>C30*(('Nowcast Scenarios'!$C$5/SUM('Nowcast Scenarios'!$B$5:$D$5))/$C$57)</x:f>
        <x:v>4130.231230132713</x:v>
      </x:c>
      <x:c r="G30" s="52" t="n">
        <x:f>D30*(('Nowcast Scenarios'!$D$5/SUM('Nowcast Scenarios'!$B$5:$D$5))/$D$57)</x:f>
        <x:v>342.68142368022933</x:v>
      </x:c>
      <x:c r="H30" s="18" t="str">
        <x:f>IF(MAX(E30:G30)=E30,"Liberal",IF(MAX(E30:G30)=F30,"PC","Green"))</x:f>
        <x:v>PC</x:v>
      </x:c>
      <x:c r="I30" s="52" t="n">
        <x:f>B30*(('Nowcast Scenarios'!$B$6/SUM('Nowcast Scenarios'!$B$6:$D$6))/$B$57)</x:f>
        <x:v>2836.5293461805322</x:v>
      </x:c>
      <x:c r="J30" s="52" t="n">
        <x:f>C30*(('Nowcast Scenarios'!$C$6/SUM('Nowcast Scenarios'!$B$6:$D$6))/$C$57)</x:f>
        <x:v>3642.7105676899923</x:v>
      </x:c>
      <x:c r="K30" s="52" t="n">
        <x:f>D30*(('Nowcast Scenarios'!$D$6/SUM('Nowcast Scenarios'!$B$6:$D$6))/$D$57)</x:f>
        <x:v>388.5843730060956</x:v>
      </x:c>
      <x:c r="L30" s="18" t="str">
        <x:f>IF(MAX(I30:K30)=I30,"Liberal",IF(MAX(I30:K30)=J30,"PC","Green"))</x:f>
        <x:v>PC</x:v>
      </x:c>
      <x:c r="M30" s="52" t="n">
        <x:f>B30*(('Nowcast Scenarios'!$B$7/SUM('Nowcast Scenarios'!$B$7:$D$7))/$B$57)</x:f>
        <x:v>2937.8339656869794</x:v>
      </x:c>
      <x:c r="N30" s="52" t="n">
        <x:f>C30*(('Nowcast Scenarios'!$C$7/SUM('Nowcast Scenarios'!$B$7:$D$7))/$C$57)</x:f>
        <x:v>3465.3934395273045</x:v>
      </x:c>
      <x:c r="O30" s="52" t="n">
        <x:f>D30*(('Nowcast Scenarios'!$D$7/SUM('Nowcast Scenarios'!$B$7:$D$7))/$D$57)</x:f>
        <x:v>389.5438405937649</x:v>
      </x:c>
      <x:c r="P30" s="18" t="str">
        <x:f>IF(MAX(M30:O30)=M30,"Liberal",IF(MAX(M30:O30)=N30,"PC","Green"))</x:f>
        <x:v>PC</x:v>
      </x:c>
      <x:c r="Q30" s="52" t="n">
        <x:f>B30*(('Nowcast Scenarios'!$B$8/SUM('Nowcast Scenarios'!$B$8:$D$8))/$B$57)</x:f>
        <x:v>2830.9014491358907</x:v>
      </x:c>
      <x:c r="R30" s="52" t="n">
        <x:f>C30*(('Nowcast Scenarios'!$C$8/SUM('Nowcast Scenarios'!$B$8:$D$8))/$C$57)</x:f>
        <x:v>3702.8042490272032</x:v>
      </x:c>
      <x:c r="S30" s="52" t="n">
        <x:f>D30*(('Nowcast Scenarios'!$D$8/SUM('Nowcast Scenarios'!$B$8:$D$8))/$D$57)</x:f>
        <x:v>376.0252337559499</x:v>
      </x:c>
      <x:c r="T30" s="18" t="str">
        <x:f>IF(MAX(Q30:S30)=Q30,"Liberal",IF(MAX(Q30:S30)=R30,"PC","Green"))</x:f>
        <x:v>PC</x:v>
      </x:c>
      <x:c r="U30" s="52" t="n">
        <x:f>B30*(('Nowcast Scenarios'!$B$9/SUM('Nowcast Scenarios'!$B$9:$D$9))/$B$57)</x:f>
        <x:v>2666.902159762131</x:v>
      </x:c>
      <x:c r="V30" s="52" t="n">
        <x:f>C30*(('Nowcast Scenarios'!$C$9/SUM('Nowcast Scenarios'!$B$9:$D$9))/$C$57)</x:f>
        <x:v>3983.6178168707665</x:v>
      </x:c>
      <x:c r="W30" s="52" t="n">
        <x:f>D30*(('Nowcast Scenarios'!$D$9/SUM('Nowcast Scenarios'!$B$9:$D$9))/$D$57)</x:f>
        <x:v>376.0252337559499</x:v>
      </x:c>
      <x:c r="X30" s="18" t="str">
        <x:f>IF(MAX(U30:W30)=U30,"Liberal",IF(MAX(U30:W30)=V30,"PC","Green"))</x:f>
        <x:v>PC</x:v>
      </x:c>
      <x:c r="Y30" s="52" t="n">
        <x:f>B30*(('Nowcast Scenarios'!$B$10/SUM('Nowcast Scenarios'!$B$10:$D$10))/$B$57)</x:f>
        <x:v>2172.280303010871</x:v>
      </x:c>
      <x:c r="Z30" s="52" t="n">
        <x:f>C30*(('Nowcast Scenarios'!$C$10/SUM('Nowcast Scenarios'!$B$10:$D$10))/$C$57)</x:f>
        <x:v>4830.551537486954</x:v>
      </x:c>
      <x:c r="AA30" s="52" t="n">
        <x:f>D30*(('Nowcast Scenarios'!$D$10/SUM('Nowcast Scenarios'!$B$10:$D$10))/$D$57)</x:f>
        <x:v>376.0252337559499</x:v>
      </x:c>
      <x:c r="AB30" s="18" t="str">
        <x:f>IF(MAX(Y30:AA30)=Y30,"Liberal",IF(MAX(Y30:AA30)=Z30,"PC","Green"))</x:f>
        <x:v>PC</x:v>
      </x:c>
      <x:c r="AC30" s="52" t="n">
        <x:f>B30*(('Nowcast Scenarios'!$B$11/SUM('Nowcast Scenarios'!$B$11:$D$11))/$B$57)</x:f>
        <x:v>2562.2967458180665</x:v>
      </x:c>
      <x:c r="AD30" s="52" t="n">
        <x:f>C30*(('Nowcast Scenarios'!$C$11/SUM('Nowcast Scenarios'!$B$11:$D$11))/$C$57)</x:f>
        <x:v>4162.732126558047</x:v>
      </x:c>
      <x:c r="AE30" s="52" t="n">
        <x:f>D30*(('Nowcast Scenarios'!$D$11/SUM('Nowcast Scenarios'!$B$11:$D$11))/$D$57)</x:f>
        <x:v>376.0252337559499</x:v>
      </x:c>
      <x:c r="AF30" s="18" t="str">
        <x:f>IF(MAX(AC30:AE30)=AC30,"Liberal",IF(MAX(AC30:AE30)=AD30,"PC","Green"))</x:f>
        <x:v>PC</x:v>
      </x:c>
      <x:c r="AG30" s="52" t="n">
        <x:f>B30*(('Nowcast Scenarios'!$B$12/SUM('Nowcast Scenarios'!$B$12:$D$12))/$B$57)</x:f>
        <x:v>2496.697030068563</x:v>
      </x:c>
      <x:c r="AH30" s="52" t="n">
        <x:f>C30*(('Nowcast Scenarios'!$C$12/SUM('Nowcast Scenarios'!$B$12:$D$12))/$C$57)</x:f>
        <x:v>4275.057553695473</x:v>
      </x:c>
      <x:c r="AI30" s="52" t="n">
        <x:f>D30*(('Nowcast Scenarios'!$D$12/SUM('Nowcast Scenarios'!$B$12:$D$12))/$D$57)</x:f>
        <x:v>376.0252337559499</x:v>
      </x:c>
      <x:c r="AJ30" s="18" t="str">
        <x:f>IF(MAX(AG30:AI30)=AG30,"Liberal",IF(MAX(AG30:AI30)=AH30,"PC","Green"))</x:f>
        <x:v>PC</x:v>
      </x:c>
    </x:row>
    <x:row r="31">
      <x:c r="A31" s="18" t="str">
        <x:v>Miramichi West</x:v>
      </x:c>
      <x:c r="B31" s="18" t="n">
        <x:v>2254</x:v>
      </x:c>
      <x:c r="C31" s="18" t="n">
        <x:v>3814</x:v>
      </x:c>
      <x:c r="D31" s="18" t="n">
        <x:v>273</x:v>
      </x:c>
      <x:c r="E31" s="52" t="n">
        <x:f>B31*(('Nowcast Scenarios'!$B$5/SUM('Nowcast Scenarios'!$B$5:$D$5))/$B$57)</x:f>
        <x:v>2052.222516602558</x:v>
      </x:c>
      <x:c r="F31" s="52" t="n">
        <x:f>C31*(('Nowcast Scenarios'!$C$5/SUM('Nowcast Scenarios'!$B$5:$D$5))/$C$57)</x:f>
        <x:v>4336.003829266768</x:v>
      </x:c>
      <x:c r="G31" s="52" t="n">
        <x:f>D31*(('Nowcast Scenarios'!$D$5/SUM('Nowcast Scenarios'!$B$5:$D$5))/$D$57)</x:f>
        <x:v>263.52684130902145</x:v>
      </x:c>
      <x:c r="H31" s="18" t="str">
        <x:f>IF(MAX(E31:G31)=E31,"Liberal",IF(MAX(E31:G31)=F31,"PC","Green"))</x:f>
        <x:v>PC</x:v>
      </x:c>
      <x:c r="I31" s="52" t="n">
        <x:f>B31*(('Nowcast Scenarios'!$B$6/SUM('Nowcast Scenarios'!$B$6:$D$6))/$B$57)</x:f>
        <x:v>2188.8179206747413</x:v>
      </x:c>
      <x:c r="J31" s="52" t="n">
        <x:f>C31*(('Nowcast Scenarios'!$C$6/SUM('Nowcast Scenarios'!$B$6:$D$6))/$C$57)</x:f>
        <x:v>3824.1943587034493</x:v>
      </x:c>
      <x:c r="K31" s="52" t="n">
        <x:f>D31*(('Nowcast Scenarios'!$D$6/SUM('Nowcast Scenarios'!$B$6:$D$6))/$D$57)</x:f>
        <x:v>298.82685586102565</x:v>
      </x:c>
      <x:c r="L31" s="18" t="str">
        <x:f>IF(MAX(I31:K31)=I31,"Liberal",IF(MAX(I31:K31)=J31,"PC","Green"))</x:f>
        <x:v>PC</x:v>
      </x:c>
      <x:c r="M31" s="52" t="n">
        <x:f>B31*(('Nowcast Scenarios'!$B$7/SUM('Nowcast Scenarios'!$B$7:$D$7))/$B$57)</x:f>
        <x:v>2266.989989270268</x:v>
      </x:c>
      <x:c r="N31" s="52" t="n">
        <x:f>C31*(('Nowcast Scenarios'!$C$7/SUM('Nowcast Scenarios'!$B$7:$D$7))/$C$57)</x:f>
        <x:v>3638.0430989147094</x:v>
      </x:c>
      <x:c r="O31" s="52" t="n">
        <x:f>D31*(('Nowcast Scenarios'!$D$7/SUM('Nowcast Scenarios'!$B$7:$D$7))/$D$57)</x:f>
        <x:v>299.5646999495714</x:v>
      </x:c>
      <x:c r="P31" s="18" t="str">
        <x:f>IF(MAX(M31:O31)=M31,"Liberal",IF(MAX(M31:O31)=N31,"PC","Green"))</x:f>
        <x:v>PC</x:v>
      </x:c>
      <x:c r="Q31" s="52" t="n">
        <x:f>B31*(('Nowcast Scenarios'!$B$8/SUM('Nowcast Scenarios'!$B$8:$D$8))/$B$57)</x:f>
        <x:v>2184.4751339788763</x:v>
      </x:c>
      <x:c r="R31" s="52" t="n">
        <x:f>C31*(('Nowcast Scenarios'!$C$8/SUM('Nowcast Scenarios'!$B$8:$D$8))/$C$57)</x:f>
        <x:v>3887.2819724166675</x:v>
      </x:c>
      <x:c r="S31" s="52" t="n">
        <x:f>D31*(('Nowcast Scenarios'!$D$8/SUM('Nowcast Scenarios'!$B$8:$D$8))/$D$57)</x:f>
        <x:v>289.1687008883784</x:v>
      </x:c>
      <x:c r="T31" s="18" t="str">
        <x:f>IF(MAX(Q31:S31)=Q31,"Liberal",IF(MAX(Q31:S31)=R31,"PC","Green"))</x:f>
        <x:v>PC</x:v>
      </x:c>
      <x:c r="U31" s="52" t="n">
        <x:f>B31*(('Nowcast Scenarios'!$B$9/SUM('Nowcast Scenarios'!$B$9:$D$9))/$B$57)</x:f>
        <x:v>2057.92450123377</x:v>
      </x:c>
      <x:c r="V31" s="52" t="n">
        <x:f>C31*(('Nowcast Scenarios'!$C$9/SUM('Nowcast Scenarios'!$B$9:$D$9))/$C$57)</x:f>
        <x:v>4182.0859767534</x:v>
      </x:c>
      <x:c r="W31" s="52" t="n">
        <x:f>D31*(('Nowcast Scenarios'!$D$9/SUM('Nowcast Scenarios'!$B$9:$D$9))/$D$57)</x:f>
        <x:v>289.1687008883784</x:v>
      </x:c>
      <x:c r="X31" s="18" t="str">
        <x:f>IF(MAX(U31:W31)=U31,"Liberal",IF(MAX(U31:W31)=V31,"PC","Green"))</x:f>
        <x:v>PC</x:v>
      </x:c>
      <x:c r="Y31" s="52" t="n">
        <x:f>B31*(('Nowcast Scenarios'!$B$10/SUM('Nowcast Scenarios'!$B$10:$D$10))/$B$57)</x:f>
        <x:v>1676.2477928745304</x:v>
      </x:c>
      <x:c r="Z31" s="52" t="n">
        <x:f>C31*(('Nowcast Scenarios'!$C$10/SUM('Nowcast Scenarios'!$B$10:$D$10))/$C$57)</x:f>
        <x:v>5071.214853832987</x:v>
      </x:c>
      <x:c r="AA31" s="52" t="n">
        <x:f>D31*(('Nowcast Scenarios'!$D$10/SUM('Nowcast Scenarios'!$B$10:$D$10))/$D$57)</x:f>
        <x:v>289.1687008883784</x:v>
      </x:c>
      <x:c r="AB31" s="18" t="str">
        <x:f>IF(MAX(Y31:AA31)=Y31,"Liberal",IF(MAX(Y31:AA31)=Z31,"PC","Green"))</x:f>
        <x:v>PC</x:v>
      </x:c>
      <x:c r="AC31" s="52" t="n">
        <x:f>B31*(('Nowcast Scenarios'!$B$11/SUM('Nowcast Scenarios'!$B$11:$D$11))/$B$57)</x:f>
        <x:v>1977.2053629147285</x:v>
      </x:c>
      <x:c r="AD31" s="52" t="n">
        <x:f>C31*(('Nowcast Scenarios'!$C$11/SUM('Nowcast Scenarios'!$B$11:$D$11))/$C$57)</x:f>
        <x:v>4370.123955599337</x:v>
      </x:c>
      <x:c r="AE31" s="52" t="n">
        <x:f>D31*(('Nowcast Scenarios'!$D$11/SUM('Nowcast Scenarios'!$B$11:$D$11))/$D$57)</x:f>
        <x:v>289.1687008883784</x:v>
      </x:c>
      <x:c r="AF31" s="18" t="str">
        <x:f>IF(MAX(AC31:AE31)=AC31,"Liberal",IF(MAX(AC31:AE31)=AD31,"PC","Green"))</x:f>
        <x:v>PC</x:v>
      </x:c>
      <x:c r="AG31" s="52" t="n">
        <x:f>B31*(('Nowcast Scenarios'!$B$12/SUM('Nowcast Scenarios'!$B$12:$D$12))/$B$57)</x:f>
        <x:v>1926.5851098166863</x:v>
      </x:c>
      <x:c r="AH31" s="52" t="n">
        <x:f>C31*(('Nowcast Scenarios'!$C$12/SUM('Nowcast Scenarios'!$B$12:$D$12))/$C$57)</x:f>
        <x:v>4488.0455573340305</x:v>
      </x:c>
      <x:c r="AI31" s="52" t="n">
        <x:f>D31*(('Nowcast Scenarios'!$D$12/SUM('Nowcast Scenarios'!$B$12:$D$12))/$D$57)</x:f>
        <x:v>289.1687008883784</x:v>
      </x:c>
      <x:c r="AJ31" s="18" t="str">
        <x:f>IF(MAX(AG31:AI31)=AG31,"Liberal",IF(MAX(AG31:AI31)=AH31,"PC","Green"))</x:f>
        <x:v>PC</x:v>
      </x:c>
    </x:row>
    <x:row r="32">
      <x:c r="A32" s="18" t="str">
        <x:v>Moncton Centre</x:v>
      </x:c>
      <x:c r="B32" s="18" t="n">
        <x:v>3501</x:v>
      </x:c>
      <x:c r="C32" s="18" t="n">
        <x:v>1738</x:v>
      </x:c>
      <x:c r="D32" s="18" t="n">
        <x:v>711</x:v>
      </x:c>
      <x:c r="E32" s="52" t="n">
        <x:f>B32*(('Nowcast Scenarios'!$B$5/SUM('Nowcast Scenarios'!$B$5:$D$5))/$B$57)</x:f>
        <x:v>3187.5914066661735</x:v>
      </x:c>
      <x:c r="F32" s="52" t="n">
        <x:f>C32*(('Nowcast Scenarios'!$C$5/SUM('Nowcast Scenarios'!$B$5:$D$5))/$C$57)</x:f>
        <x:v>1975.8716977623603</x:v>
      </x:c>
      <x:c r="G32" s="52" t="n">
        <x:f>D32*(('Nowcast Scenarios'!$D$5/SUM('Nowcast Scenarios'!$B$5:$D$5))/$D$57)</x:f>
        <x:v>686.3281471454734</x:v>
      </x:c>
      <x:c r="H32" s="18" t="str">
        <x:f>IF(MAX(E32:G32)=E32,"Liberal",IF(MAX(E32:G32)=F32,"PC","Green"))</x:f>
        <x:v>Liberal</x:v>
      </x:c>
      <x:c r="I32" s="52" t="n">
        <x:f>B32*(('Nowcast Scenarios'!$B$6/SUM('Nowcast Scenarios'!$B$6:$D$6))/$B$57)</x:f>
        <x:v>3399.7566727073067</x:v>
      </x:c>
      <x:c r="J32" s="52" t="n">
        <x:f>C32*(('Nowcast Scenarios'!$C$6/SUM('Nowcast Scenarios'!$B$6:$D$6))/$C$57)</x:f>
        <x:v>1742.6454628805964</x:v>
      </x:c>
      <x:c r="K32" s="52" t="n">
        <x:f>D32*(('Nowcast Scenarios'!$D$6/SUM('Nowcast Scenarios'!$B$6:$D$6))/$D$57)</x:f>
        <x:v>778.263349879814</x:v>
      </x:c>
      <x:c r="L32" s="18" t="str">
        <x:f>IF(MAX(I32:K32)=I32,"Liberal",IF(MAX(I32:K32)=J32,"PC","Green"))</x:f>
        <x:v>Liberal</x:v>
      </x:c>
      <x:c r="M32" s="52" t="n">
        <x:f>B32*(('Nowcast Scenarios'!$B$7/SUM('Nowcast Scenarios'!$B$7:$D$7))/$B$57)</x:f>
        <x:v>3521.176553875425</x:v>
      </x:c>
      <x:c r="N32" s="52" t="n">
        <x:f>C32*(('Nowcast Scenarios'!$C$7/SUM('Nowcast Scenarios'!$B$7:$D$7))/$C$57)</x:f>
        <x:v>1657.8182763276784</x:v>
      </x:c>
      <x:c r="O32" s="52" t="n">
        <x:f>D32*(('Nowcast Scenarios'!$D$7/SUM('Nowcast Scenarios'!$B$7:$D$7))/$D$57)</x:f>
        <x:v>780.1849877807517</x:v>
      </x:c>
      <x:c r="P32" s="18" t="str">
        <x:f>IF(MAX(M32:O32)=M32,"Liberal",IF(MAX(M32:O32)=N32,"PC","Green"))</x:f>
        <x:v>Liberal</x:v>
      </x:c>
      <x:c r="Q32" s="52" t="n">
        <x:f>B32*(('Nowcast Scenarios'!$B$8/SUM('Nowcast Scenarios'!$B$8:$D$8))/$B$57)</x:f>
        <x:v>3393.01128840286</x:v>
      </x:c>
      <x:c r="R32" s="52" t="n">
        <x:f>C32*(('Nowcast Scenarios'!$C$8/SUM('Nowcast Scenarios'!$B$8:$D$8))/$C$57)</x:f>
        <x:v>1771.3938301154085</x:v>
      </x:c>
      <x:c r="S32" s="52" t="n">
        <x:f>D32*(('Nowcast Scenarios'!$D$8/SUM('Nowcast Scenarios'!$B$8:$D$8))/$D$57)</x:f>
        <x:v>753.1096935224799</x:v>
      </x:c>
      <x:c r="T32" s="18" t="str">
        <x:f>IF(MAX(Q32:S32)=Q32,"Liberal",IF(MAX(Q32:S32)=R32,"PC","Green"))</x:f>
        <x:v>Liberal</x:v>
      </x:c>
      <x:c r="U32" s="52" t="n">
        <x:f>B32*(('Nowcast Scenarios'!$B$9/SUM('Nowcast Scenarios'!$B$9:$D$9))/$B$57)</x:f>
        <x:v>3196.4479497867924</x:v>
      </x:c>
      <x:c r="V32" s="52" t="n">
        <x:f>C32*(('Nowcast Scenarios'!$C$9/SUM('Nowcast Scenarios'!$B$9:$D$9))/$C$57)</x:f>
        <x:v>1905.732938541534</x:v>
      </x:c>
      <x:c r="W32" s="52" t="n">
        <x:f>D32*(('Nowcast Scenarios'!$D$9/SUM('Nowcast Scenarios'!$B$9:$D$9))/$D$57)</x:f>
        <x:v>753.1096935224799</x:v>
      </x:c>
      <x:c r="X32" s="18" t="str">
        <x:f>IF(MAX(U32:W32)=U32,"Liberal",IF(MAX(U32:W32)=V32,"PC","Green"))</x:f>
        <x:v>Liberal</x:v>
      </x:c>
      <x:c r="Y32" s="52" t="n">
        <x:f>B32*(('Nowcast Scenarios'!$B$10/SUM('Nowcast Scenarios'!$B$10:$D$10))/$B$57)</x:f>
        <x:v>2603.6129205207326</x:v>
      </x:c>
      <x:c r="Z32" s="52" t="n">
        <x:f>C32*(('Nowcast Scenarios'!$C$10/SUM('Nowcast Scenarios'!$B$10:$D$10))/$C$57)</x:f>
        <x:v>2310.8996895547275</x:v>
      </x:c>
      <x:c r="AA32" s="52" t="n">
        <x:f>D32*(('Nowcast Scenarios'!$D$10/SUM('Nowcast Scenarios'!$B$10:$D$10))/$D$57)</x:f>
        <x:v>753.1096935224799</x:v>
      </x:c>
      <x:c r="AB32" s="18" t="str">
        <x:f>IF(MAX(Y32:AA32)=Y32,"Liberal",IF(MAX(Y32:AA32)=Z32,"PC","Green"))</x:f>
        <x:v>Liberal</x:v>
      </x:c>
      <x:c r="AC32" s="52" t="n">
        <x:f>B32*(('Nowcast Scenarios'!$B$11/SUM('Nowcast Scenarios'!$B$11:$D$11))/$B$57)</x:f>
        <x:v>3071.0718613861864</x:v>
      </x:c>
      <x:c r="AD32" s="52" t="n">
        <x:f>C32*(('Nowcast Scenarios'!$C$11/SUM('Nowcast Scenarios'!$B$11:$D$11))/$C$57)</x:f>
        <x:v>1991.419883280453</x:v>
      </x:c>
      <x:c r="AE32" s="52" t="n">
        <x:f>D32*(('Nowcast Scenarios'!$D$11/SUM('Nowcast Scenarios'!$B$11:$D$11))/$D$57)</x:f>
        <x:v>753.1096935224799</x:v>
      </x:c>
      <x:c r="AF32" s="18" t="str">
        <x:f>IF(MAX(AC32:AE32)=AC32,"Liberal",IF(MAX(AC32:AE32)=AD32,"PC","Green"))</x:f>
        <x:v>Liberal</x:v>
      </x:c>
      <x:c r="AG32" s="52" t="n">
        <x:f>B32*(('Nowcast Scenarios'!$B$12/SUM('Nowcast Scenarios'!$B$12:$D$12))/$B$57)</x:f>
        <x:v>2992.44652593976</x:v>
      </x:c>
      <x:c r="AH32" s="52" t="n">
        <x:f>C32*(('Nowcast Scenarios'!$C$12/SUM('Nowcast Scenarios'!$B$12:$D$12))/$C$57)</x:f>
        <x:v>2045.1555266509033</x:v>
      </x:c>
      <x:c r="AI32" s="52" t="n">
        <x:f>D32*(('Nowcast Scenarios'!$D$12/SUM('Nowcast Scenarios'!$B$12:$D$12))/$D$57)</x:f>
        <x:v>753.1096935224799</x:v>
      </x:c>
      <x:c r="AJ32" s="18" t="str">
        <x:f>IF(MAX(AG32:AI32)=AG32,"Liberal",IF(MAX(AG32:AI32)=AH32,"PC","Green"))</x:f>
        <x:v>Liberal</x:v>
      </x:c>
    </x:row>
    <x:row r="33">
      <x:c r="A33" s="18" t="str">
        <x:v>Moncton East</x:v>
      </x:c>
      <x:c r="B33" s="18" t="n">
        <x:v>4449</x:v>
      </x:c>
      <x:c r="C33" s="18" t="n">
        <x:v>1903</x:v>
      </x:c>
      <x:c r="D33" s="18" t="n">
        <x:v>736</x:v>
      </x:c>
      <x:c r="E33" s="52" t="n">
        <x:f>B33*(('Nowcast Scenarios'!$B$5/SUM('Nowcast Scenarios'!$B$5:$D$5))/$B$57)</x:f>
        <x:v>4050.7266975886337</x:v>
      </x:c>
      <x:c r="F33" s="52" t="n">
        <x:f>C33*(('Nowcast Scenarios'!$C$5/SUM('Nowcast Scenarios'!$B$5:$D$5))/$C$57)</x:f>
        <x:v>2163.45445387904</x:v>
      </x:c>
      <x:c r="G33" s="52" t="n">
        <x:f>D33*(('Nowcast Scenarios'!$D$5/SUM('Nowcast Scenarios'!$B$5:$D$5))/$D$57)</x:f>
        <x:v>710.4606417708417</x:v>
      </x:c>
      <x:c r="H33" s="18" t="str">
        <x:f>IF(MAX(E33:G33)=E33,"Liberal",IF(MAX(E33:G33)=F33,"PC","Green"))</x:f>
        <x:v>Liberal</x:v>
      </x:c>
      <x:c r="I33" s="52" t="n">
        <x:f>B33*(('Nowcast Scenarios'!$B$6/SUM('Nowcast Scenarios'!$B$6:$D$6))/$B$57)</x:f>
        <x:v>4320.342027099346</x:v>
      </x:c>
      <x:c r="J33" s="52" t="n">
        <x:f>C33*(('Nowcast Scenarios'!$C$6/SUM('Nowcast Scenarios'!$B$6:$D$6))/$C$57)</x:f>
        <x:v>1908.086487837615</x:v>
      </x:c>
      <x:c r="K33" s="52" t="n">
        <x:f>D33*(('Nowcast Scenarios'!$D$6/SUM('Nowcast Scenarios'!$B$6:$D$6))/$D$57)</x:f>
        <x:v>805.6284465703841</x:v>
      </x:c>
      <x:c r="L33" s="18" t="str">
        <x:f>IF(MAX(I33:K33)=I33,"Liberal",IF(MAX(I33:K33)=J33,"PC","Green"))</x:f>
        <x:v>Liberal</x:v>
      </x:c>
      <x:c r="M33" s="52" t="n">
        <x:f>B33*(('Nowcast Scenarios'!$B$7/SUM('Nowcast Scenarios'!$B$7:$D$7))/$B$57)</x:f>
        <x:v>4474.639956638607</x:v>
      </x:c>
      <x:c r="N33" s="52" t="n">
        <x:f>C33*(('Nowcast Scenarios'!$C$7/SUM('Nowcast Scenarios'!$B$7:$D$7))/$C$57)</x:f>
        <x:v>1815.2060873714454</x:v>
      </x:c>
      <x:c r="O33" s="52" t="n">
        <x:f>D33*(('Nowcast Scenarios'!$D$7/SUM('Nowcast Scenarios'!$B$7:$D$7))/$D$57)</x:f>
        <x:v>807.6176526112986</x:v>
      </x:c>
      <x:c r="P33" s="18" t="str">
        <x:f>IF(MAX(M33:O33)=M33,"Liberal",IF(MAX(M33:O33)=N33,"PC","Green"))</x:f>
        <x:v>Liberal</x:v>
      </x:c>
      <x:c r="Q33" s="52" t="n">
        <x:f>B33*(('Nowcast Scenarios'!$B$8/SUM('Nowcast Scenarios'!$B$8:$D$8))/$B$57)</x:f>
        <x:v>4311.770129135768</x:v>
      </x:c>
      <x:c r="R33" s="52" t="n">
        <x:f>C33*(('Nowcast Scenarios'!$C$8/SUM('Nowcast Scenarios'!$B$8:$D$8))/$C$57)</x:f>
        <x:v>1939.5641304428207</x:v>
      </x:c>
      <x:c r="S33" s="52" t="n">
        <x:f>D33*(('Nowcast Scenarios'!$D$8/SUM('Nowcast Scenarios'!$B$8:$D$8))/$D$57)</x:f>
        <x:v>779.5903437869835</x:v>
      </x:c>
      <x:c r="T33" s="18" t="str">
        <x:f>IF(MAX(Q33:S33)=Q33,"Liberal",IF(MAX(Q33:S33)=R33,"PC","Green"))</x:f>
        <x:v>Liberal</x:v>
      </x:c>
      <x:c r="U33" s="52" t="n">
        <x:f>B33*(('Nowcast Scenarios'!$B$9/SUM('Nowcast Scenarios'!$B$9:$D$9))/$B$57)</x:f>
        <x:v>4061.981413482273</x:v>
      </x:c>
      <x:c r="V33" s="52" t="n">
        <x:f>C33*(('Nowcast Scenarios'!$C$9/SUM('Nowcast Scenarios'!$B$9:$D$9))/$C$57)</x:f>
        <x:v>2086.6569516942113</x:v>
      </x:c>
      <x:c r="W33" s="52" t="n">
        <x:f>D33*(('Nowcast Scenarios'!$D$9/SUM('Nowcast Scenarios'!$B$9:$D$9))/$D$57)</x:f>
        <x:v>779.5903437869835</x:v>
      </x:c>
      <x:c r="X33" s="18" t="str">
        <x:f>IF(MAX(U33:W33)=U33,"Liberal",IF(MAX(U33:W33)=V33,"PC","Green"))</x:f>
        <x:v>Liberal</x:v>
      </x:c>
      <x:c r="Y33" s="52" t="n">
        <x:f>B33*(('Nowcast Scenarios'!$B$10/SUM('Nowcast Scenarios'!$B$10:$D$10))/$B$57)</x:f>
        <x:v>3308.6186470713337</x:v>
      </x:c>
      <x:c r="Z33" s="52" t="n">
        <x:f>C33*(('Nowcast Scenarios'!$C$10/SUM('Nowcast Scenarios'!$B$10:$D$10))/$C$57)</x:f>
        <x:v>2530.2889005884044</x:v>
      </x:c>
      <x:c r="AA33" s="52" t="n">
        <x:f>D33*(('Nowcast Scenarios'!$D$10/SUM('Nowcast Scenarios'!$B$10:$D$10))/$D$57)</x:f>
        <x:v>779.5903437869835</x:v>
      </x:c>
      <x:c r="AB33" s="18" t="str">
        <x:f>IF(MAX(Y33:AA33)=Y33,"Liberal",IF(MAX(Y33:AA33)=Z33,"PC","Green"))</x:f>
        <x:v>Liberal</x:v>
      </x:c>
      <x:c r="AC33" s="52" t="n">
        <x:f>B33*(('Nowcast Scenarios'!$B$11/SUM('Nowcast Scenarios'!$B$11:$D$11))/$B$57)</x:f>
        <x:v>3902.6560157975273</x:v>
      </x:c>
      <x:c r="AD33" s="52" t="n">
        <x:f>C33*(('Nowcast Scenarios'!$C$11/SUM('Nowcast Scenarios'!$B$11:$D$11))/$C$57)</x:f>
        <x:v>2180.4787329589767</x:v>
      </x:c>
      <x:c r="AE33" s="52" t="n">
        <x:f>D33*(('Nowcast Scenarios'!$D$11/SUM('Nowcast Scenarios'!$B$11:$D$11))/$D$57)</x:f>
        <x:v>779.5903437869835</x:v>
      </x:c>
      <x:c r="AF33" s="18" t="str">
        <x:f>IF(MAX(AC33:AE33)=AC33,"Liberal",IF(MAX(AC33:AE33)=AD33,"PC","Green"))</x:f>
        <x:v>Liberal</x:v>
      </x:c>
      <x:c r="AG33" s="52" t="n">
        <x:f>B33*(('Nowcast Scenarios'!$B$12/SUM('Nowcast Scenarios'!$B$12:$D$12))/$B$57)</x:f>
        <x:v>3802.74052953613</x:v>
      </x:c>
      <x:c r="AH33" s="52" t="n">
        <x:f>C33*(('Nowcast Scenarios'!$C$12/SUM('Nowcast Scenarios'!$B$12:$D$12))/$C$57)</x:f>
        <x:v>2239.315861459533</x:v>
      </x:c>
      <x:c r="AI33" s="52" t="n">
        <x:f>D33*(('Nowcast Scenarios'!$D$12/SUM('Nowcast Scenarios'!$B$12:$D$12))/$D$57)</x:f>
        <x:v>779.5903437869835</x:v>
      </x:c>
      <x:c r="AJ33" s="18" t="str">
        <x:f>IF(MAX(AG33:AI33)=AG33,"Liberal",IF(MAX(AG33:AI33)=AH33,"PC","Green"))</x:f>
        <x:v>Liberal</x:v>
      </x:c>
    </x:row>
    <x:row r="34">
      <x:c r="A34" s="18" t="str">
        <x:v>Moncton Northwest</x:v>
      </x:c>
      <x:c r="B34" s="18" t="n">
        <x:v>3761</x:v>
      </x:c>
      <x:c r="C34" s="18" t="n">
        <x:v>3536</x:v>
      </x:c>
      <x:c r="D34" s="18" t="n">
        <x:v>804</x:v>
      </x:c>
      <x:c r="E34" s="52" t="n">
        <x:f>B34*(('Nowcast Scenarios'!$B$5/SUM('Nowcast Scenarios'!$B$5:$D$5))/$B$57)</x:f>
        <x:v>3424.31627548457</x:v>
      </x:c>
      <x:c r="F34" s="52" t="n">
        <x:f>C34*(('Nowcast Scenarios'!$C$5/SUM('Nowcast Scenarios'!$B$5:$D$5))/$C$57)</x:f>
        <x:v>4019.955306839877</x:v>
      </x:c>
      <x:c r="G34" s="52" t="n">
        <x:f>D34*(('Nowcast Scenarios'!$D$5/SUM('Nowcast Scenarios'!$B$5:$D$5))/$D$57)</x:f>
        <x:v>776.1010271518434</x:v>
      </x:c>
      <x:c r="H34" s="18" t="str">
        <x:f>IF(MAX(E34:G34)=E34,"Liberal",IF(MAX(E34:G34)=F34,"PC","Green"))</x:f>
        <x:v>PC</x:v>
      </x:c>
      <x:c r="I34" s="52" t="n">
        <x:f>B34*(('Nowcast Scenarios'!$B$6/SUM('Nowcast Scenarios'!$B$6:$D$6))/$B$57)</x:f>
        <x:v>3652.2378880468955</x:v>
      </x:c>
      <x:c r="J34" s="52" t="n">
        <x:f>C34*(('Nowcast Scenarios'!$C$6/SUM('Nowcast Scenarios'!$B$6:$D$6))/$C$57)</x:f>
        <x:v>3545.451298472836</x:v>
      </x:c>
      <x:c r="K34" s="52" t="n">
        <x:f>D34*(('Nowcast Scenarios'!$D$6/SUM('Nowcast Scenarios'!$B$6:$D$6))/$D$57)</x:f>
        <x:v>880.0615095687348</x:v>
      </x:c>
      <x:c r="L34" s="18" t="str">
        <x:f>IF(MAX(I34:K34)=I34,"Liberal",IF(MAX(I34:K34)=J34,"PC","Green"))</x:f>
        <x:v>Liberal</x:v>
      </x:c>
      <x:c r="M34" s="52" t="n">
        <x:f>B34*(('Nowcast Scenarios'!$B$7/SUM('Nowcast Scenarios'!$B$7:$D$7))/$B$57)</x:f>
        <x:v>3782.6749554771413</x:v>
      </x:c>
      <x:c r="N34" s="52" t="n">
        <x:f>C34*(('Nowcast Scenarios'!$C$7/SUM('Nowcast Scenarios'!$B$7:$D$7))/$C$57)</x:f>
        <x:v>3372.8684839439993</x:v>
      </x:c>
      <x:c r="O34" s="52" t="n">
        <x:f>D34*(('Nowcast Scenarios'!$D$7/SUM('Nowcast Scenarios'!$B$7:$D$7))/$D$57)</x:f>
        <x:v>882.234500950386</x:v>
      </x:c>
      <x:c r="P34" s="18" t="str">
        <x:f>IF(MAX(M34:O34)=M34,"Liberal",IF(MAX(M34:O34)=N34,"PC","Green"))</x:f>
        <x:v>Liberal</x:v>
      </x:c>
      <x:c r="Q34" s="52" t="n">
        <x:f>B34*(('Nowcast Scenarios'!$B$8/SUM('Nowcast Scenarios'!$B$8:$D$8))/$B$57)</x:f>
        <x:v>3644.991561177708</x:v>
      </x:c>
      <x:c r="R34" s="52" t="n">
        <x:f>C34*(('Nowcast Scenarios'!$C$8/SUM('Nowcast Scenarios'!$B$8:$D$8))/$C$57)</x:f>
        <x:v>3603.9404967135124</x:v>
      </x:c>
      <x:c r="S34" s="52" t="n">
        <x:f>D34*(('Nowcast Scenarios'!$D$8/SUM('Nowcast Scenarios'!$B$8:$D$8))/$D$57)</x:f>
        <x:v>851.617712506433</x:v>
      </x:c>
      <x:c r="T34" s="18" t="str">
        <x:f>IF(MAX(Q34:S34)=Q34,"Liberal",IF(MAX(Q34:S34)=R34,"PC","Green"))</x:f>
        <x:v>Liberal</x:v>
      </x:c>
      <x:c r="U34" s="52" t="n">
        <x:f>B34*(('Nowcast Scenarios'!$B$9/SUM('Nowcast Scenarios'!$B$9:$D$9))/$B$57)</x:f>
        <x:v>3433.830545315089</x:v>
      </x:c>
      <x:c r="V34" s="52" t="n">
        <x:f>C34*(('Nowcast Scenarios'!$C$9/SUM('Nowcast Scenarios'!$B$9:$D$9))/$C$57)</x:f>
        <x:v>3877.256427320405</x:v>
      </x:c>
      <x:c r="W34" s="52" t="n">
        <x:f>D34*(('Nowcast Scenarios'!$D$9/SUM('Nowcast Scenarios'!$B$9:$D$9))/$D$57)</x:f>
        <x:v>851.617712506433</x:v>
      </x:c>
      <x:c r="X34" s="18" t="str">
        <x:f>IF(MAX(U34:W34)=U34,"Liberal",IF(MAX(U34:W34)=V34,"PC","Green"))</x:f>
        <x:v>PC</x:v>
      </x:c>
      <x:c r="Y34" s="52" t="n">
        <x:f>B34*(('Nowcast Scenarios'!$B$10/SUM('Nowcast Scenarios'!$B$10:$D$10))/$B$57)</x:f>
        <x:v>2796.968921473429</x:v>
      </x:c>
      <x:c r="Z34" s="52" t="n">
        <x:f>C34*(('Nowcast Scenarios'!$C$10/SUM('Nowcast Scenarios'!$B$10:$D$10))/$C$57)</x:f>
        <x:v>4701.577274030792</x:v>
      </x:c>
      <x:c r="AA34" s="52" t="n">
        <x:f>D34*(('Nowcast Scenarios'!$D$10/SUM('Nowcast Scenarios'!$B$10:$D$10))/$D$57)</x:f>
        <x:v>851.617712506433</x:v>
      </x:c>
      <x:c r="AB34" s="18" t="str">
        <x:f>IF(MAX(Y34:AA34)=Y34,"Liberal",IF(MAX(Y34:AA34)=Z34,"PC","Green"))</x:f>
        <x:v>PC</x:v>
      </x:c>
      <x:c r="AC34" s="52" t="n">
        <x:f>B34*(('Nowcast Scenarios'!$B$11/SUM('Nowcast Scenarios'!$B$11:$D$11))/$B$57)</x:f>
        <x:v>3299.143464916723</x:v>
      </x:c>
      <x:c r="AD34" s="52" t="n">
        <x:f>C34*(('Nowcast Scenarios'!$C$11/SUM('Nowcast Scenarios'!$B$11:$D$11))/$C$57)</x:f>
        <x:v>4051.5884391712784</x:v>
      </x:c>
      <x:c r="AE34" s="52" t="n">
        <x:f>D34*(('Nowcast Scenarios'!$D$11/SUM('Nowcast Scenarios'!$B$11:$D$11))/$D$57)</x:f>
        <x:v>851.617712506433</x:v>
      </x:c>
      <x:c r="AF34" s="18" t="str">
        <x:f>IF(MAX(AC34:AE34)=AC34,"Liberal",IF(MAX(AC34:AE34)=AD34,"PC","Green"))</x:f>
        <x:v>PC</x:v>
      </x:c>
      <x:c r="AG34" s="52" t="n">
        <x:f>B34*(('Nowcast Scenarios'!$B$12/SUM('Nowcast Scenarios'!$B$12:$D$12))/$B$57)</x:f>
        <x:v>3214.679058571676</x:v>
      </x:c>
      <x:c r="AH34" s="52" t="n">
        <x:f>C34*(('Nowcast Scenarios'!$C$12/SUM('Nowcast Scenarios'!$B$12:$D$12))/$C$57)</x:f>
        <x:v>4160.914811414035</x:v>
      </x:c>
      <x:c r="AI34" s="52" t="n">
        <x:f>D34*(('Nowcast Scenarios'!$D$12/SUM('Nowcast Scenarios'!$B$12:$D$12))/$D$57)</x:f>
        <x:v>851.617712506433</x:v>
      </x:c>
      <x:c r="AJ34" s="18" t="str">
        <x:f>IF(MAX(AG34:AI34)=AG34,"Liberal",IF(MAX(AG34:AI34)=AH34,"PC","Green"))</x:f>
        <x:v>PC</x:v>
      </x:c>
    </x:row>
    <x:row r="35">
      <x:c r="A35" s="18" t="str">
        <x:v>Moncton South</x:v>
      </x:c>
      <x:c r="B35" s="18" t="n">
        <x:v>3559</x:v>
      </x:c>
      <x:c r="C35" s="18" t="n">
        <x:v>2229</x:v>
      </x:c>
      <x:c r="D35" s="18" t="n">
        <x:v>900</x:v>
      </x:c>
      <x:c r="E35" s="52" t="n">
        <x:f>B35*(('Nowcast Scenarios'!$B$5/SUM('Nowcast Scenarios'!$B$5:$D$5))/$B$57)</x:f>
        <x:v>3240.3992620179697</x:v>
      </x:c>
      <x:c r="F35" s="52" t="n">
        <x:f>C35*(('Nowcast Scenarios'!$C$5/SUM('Nowcast Scenarios'!$B$5:$D$5))/$C$57)</x:f>
        <x:v>2534.072505358056</x:v>
      </x:c>
      <x:c r="G35" s="52" t="n">
        <x:f>D35*(('Nowcast Scenarios'!$D$5/SUM('Nowcast Scenarios'!$B$5:$D$5))/$D$57)</x:f>
        <x:v>868.7698065132575</x:v>
      </x:c>
      <x:c r="H35" s="18" t="str">
        <x:f>IF(MAX(E35:G35)=E35,"Liberal",IF(MAX(E35:G35)=F35,"PC","Green"))</x:f>
        <x:v>Liberal</x:v>
      </x:c>
      <x:c r="I35" s="52" t="n">
        <x:f>B35*(('Nowcast Scenarios'!$B$6/SUM('Nowcast Scenarios'!$B$6:$D$6))/$B$57)</x:f>
        <x:v>3456.0794053599843</x:v>
      </x:c>
      <x:c r="J35" s="52" t="n">
        <x:f>C35*(('Nowcast Scenarios'!$C$6/SUM('Nowcast Scenarios'!$B$6:$D$6))/$C$57)</x:f>
        <x:v>2234.957846237543</x:v>
      </x:c>
      <x:c r="K35" s="52" t="n">
        <x:f>D35*(('Nowcast Scenarios'!$D$6/SUM('Nowcast Scenarios'!$B$6:$D$6))/$D$57)</x:f>
        <x:v>985.143480860524</x:v>
      </x:c>
      <x:c r="L35" s="18" t="str">
        <x:f>IF(MAX(I35:K35)=I35,"Liberal",IF(MAX(I35:K35)=J35,"PC","Green"))</x:f>
        <x:v>Liberal</x:v>
      </x:c>
      <x:c r="M35" s="52" t="n">
        <x:f>B35*(('Nowcast Scenarios'!$B$7/SUM('Nowcast Scenarios'!$B$7:$D$7))/$B$57)</x:f>
        <x:v>3579.510812694269</x:v>
      </x:c>
      <x:c r="N35" s="52" t="n">
        <x:f>C35*(('Nowcast Scenarios'!$C$7/SUM('Nowcast Scenarios'!$B$7:$D$7))/$C$57)</x:f>
        <x:v>2126.16624737307</x:v>
      </x:c>
      <x:c r="O35" s="52" t="n">
        <x:f>D35*(('Nowcast Scenarios'!$D$7/SUM('Nowcast Scenarios'!$B$7:$D$7))/$D$57)</x:f>
        <x:v>987.5759338996858</x:v>
      </x:c>
      <x:c r="P35" s="18" t="str">
        <x:f>IF(MAX(M35:O35)=M35,"Liberal",IF(MAX(M35:O35)=N35,"PC","Green"))</x:f>
        <x:v>Liberal</x:v>
      </x:c>
      <x:c r="Q35" s="52" t="n">
        <x:f>B35*(('Nowcast Scenarios'!$B$8/SUM('Nowcast Scenarios'!$B$8:$D$8))/$B$57)</x:f>
        <x:v>3449.2222723295567</x:v>
      </x:c>
      <x:c r="R35" s="52" t="n">
        <x:f>C35*(('Nowcast Scenarios'!$C$8/SUM('Nowcast Scenarios'!$B$8:$D$8))/$C$57)</x:f>
        <x:v>2271.827875332132</x:v>
      </x:c>
      <x:c r="S35" s="52" t="n">
        <x:f>D35*(('Nowcast Scenarios'!$D$8/SUM('Nowcast Scenarios'!$B$8:$D$8))/$D$57)</x:f>
        <x:v>953.3034095221265</x:v>
      </x:c>
      <x:c r="T35" s="18" t="str">
        <x:f>IF(MAX(Q35:S35)=Q35,"Liberal",IF(MAX(Q35:S35)=R35,"PC","Green"))</x:f>
        <x:v>Liberal</x:v>
      </x:c>
      <x:c r="U35" s="52" t="n">
        <x:f>B35*(('Nowcast Scenarios'!$B$9/SUM('Nowcast Scenarios'!$B$9:$D$9))/$B$57)</x:f>
        <x:v>3249.402528789258</x:v>
      </x:c>
      <x:c r="V35" s="52" t="n">
        <x:f>C35*(('Nowcast Scenarios'!$C$9/SUM('Nowcast Scenarios'!$B$9:$D$9))/$C$57)</x:f>
        <x:v>2444.1189413170764</x:v>
      </x:c>
      <x:c r="W35" s="52" t="n">
        <x:f>D35*(('Nowcast Scenarios'!$D$9/SUM('Nowcast Scenarios'!$B$9:$D$9))/$D$57)</x:f>
        <x:v>953.3034095221265</x:v>
      </x:c>
      <x:c r="X35" s="18" t="str">
        <x:f>IF(MAX(U35:W35)=U35,"Liberal",IF(MAX(U35:W35)=V35,"PC","Green"))</x:f>
        <x:v>Liberal</x:v>
      </x:c>
      <x:c r="Y35" s="52" t="n">
        <x:f>B35*(('Nowcast Scenarios'!$B$10/SUM('Nowcast Scenarios'!$B$10:$D$10))/$B$57)</x:f>
        <x:v>2646.7461822717187</x:v>
      </x:c>
      <x:c r="Z35" s="52" t="n">
        <x:f>C35*(('Nowcast Scenarios'!$C$10/SUM('Nowcast Scenarios'!$B$10:$D$10))/$C$57)</x:f>
        <x:v>2963.7487963276685</x:v>
      </x:c>
      <x:c r="AA35" s="52" t="n">
        <x:f>D35*(('Nowcast Scenarios'!$D$10/SUM('Nowcast Scenarios'!$B$10:$D$10))/$D$57)</x:f>
        <x:v>953.3034095221265</x:v>
      </x:c>
      <x:c r="AB35" s="18" t="str">
        <x:f>IF(MAX(Y35:AA35)=Y35,"Liberal",IF(MAX(Y35:AA35)=Z35,"PC","Green"))</x:f>
        <x:v>PC</x:v>
      </x:c>
      <x:c r="AC35" s="52" t="n">
        <x:f>B35*(('Nowcast Scenarios'!$B$11/SUM('Nowcast Scenarios'!$B$11:$D$11))/$B$57)</x:f>
        <x:v>3121.9493729429987</x:v>
      </x:c>
      <x:c r="AD35" s="52" t="n">
        <x:f>C35*(('Nowcast Scenarios'!$C$11/SUM('Nowcast Scenarios'!$B$11:$D$11))/$C$57)</x:f>
        <x:v>2554.0131874753333</x:v>
      </x:c>
      <x:c r="AE35" s="52" t="n">
        <x:f>D35*(('Nowcast Scenarios'!$D$11/SUM('Nowcast Scenarios'!$B$11:$D$11))/$D$57)</x:f>
        <x:v>953.3034095221265</x:v>
      </x:c>
      <x:c r="AF35" s="18" t="str">
        <x:f>IF(MAX(AC35:AE35)=AC35,"Liberal",IF(MAX(AC35:AE35)=AD35,"PC","Green"))</x:f>
        <x:v>Liberal</x:v>
      </x:c>
      <x:c r="AG35" s="52" t="n">
        <x:f>B35*(('Nowcast Scenarios'!$B$12/SUM('Nowcast Scenarios'!$B$12:$D$12))/$B$57)</x:f>
        <x:v>3042.0214755268794</x:v>
      </x:c>
      <x:c r="AH35" s="52" t="n">
        <x:f>C35*(('Nowcast Scenarios'!$C$12/SUM('Nowcast Scenarios'!$B$12:$D$12))/$C$57)</x:f>
        <x:v>2622.9296138693117</x:v>
      </x:c>
      <x:c r="AI35" s="52" t="n">
        <x:f>D35*(('Nowcast Scenarios'!$D$12/SUM('Nowcast Scenarios'!$B$12:$D$12))/$D$57)</x:f>
        <x:v>953.3034095221265</x:v>
      </x:c>
      <x:c r="AJ35" s="18" t="str">
        <x:f>IF(MAX(AG35:AI35)=AG35,"Liberal",IF(MAX(AG35:AI35)=AH35,"PC","Green"))</x:f>
        <x:v>Liberal</x:v>
      </x:c>
    </x:row>
    <x:row r="36">
      <x:c r="A36" s="18" t="str">
        <x:v>Oromocto-Sunbury</x:v>
      </x:c>
      <x:c r="B36" s="18" t="n">
        <x:v>2725</x:v>
      </x:c>
      <x:c r="C36" s="18" t="n">
        <x:v>4381</x:v>
      </x:c>
      <x:c r="D36" s="18" t="n">
        <x:v>868</x:v>
      </x:c>
      <x:c r="E36" s="52" t="n">
        <x:f>B36*(('Nowcast Scenarios'!$B$5/SUM('Nowcast Scenarios'!$B$5:$D$5))/$B$57)</x:f>
        <x:v>2481.0587212697296</x:v>
      </x:c>
      <x:c r="F36" s="52" t="n">
        <x:f>C36*(('Nowcast Scenarios'!$C$5/SUM('Nowcast Scenarios'!$B$5:$D$5))/$C$57)</x:f>
        <x:v>4980.606391194994</x:v>
      </x:c>
      <x:c r="G36" s="52" t="n">
        <x:f>D36*(('Nowcast Scenarios'!$D$5/SUM('Nowcast Scenarios'!$B$5:$D$5))/$D$57)</x:f>
        <x:v>837.8802133927861</x:v>
      </x:c>
      <x:c r="H36" s="18" t="str">
        <x:f>IF(MAX(E36:G36)=E36,"Liberal",IF(MAX(E36:G36)=F36,"PC","Green"))</x:f>
        <x:v>PC</x:v>
      </x:c>
      <x:c r="I36" s="52" t="n">
        <x:f>B36*(('Nowcast Scenarios'!$B$6/SUM('Nowcast Scenarios'!$B$6:$D$6))/$B$57)</x:f>
        <x:v>2646.1973530783807</x:v>
      </x:c>
      <x:c r="J36" s="52" t="n">
        <x:f>C36*(('Nowcast Scenarios'!$C$6/SUM('Nowcast Scenarios'!$B$6:$D$6))/$C$57)</x:f>
        <x:v>4392.709880828477</x:v>
      </x:c>
      <x:c r="K36" s="52" t="n">
        <x:f>D36*(('Nowcast Scenarios'!$D$6/SUM('Nowcast Scenarios'!$B$6:$D$6))/$D$57)</x:f>
        <x:v>950.1161570965943</x:v>
      </x:c>
      <x:c r="L36" s="18" t="str">
        <x:f>IF(MAX(I36:K36)=I36,"Liberal",IF(MAX(I36:K36)=J36,"PC","Green"))</x:f>
        <x:v>PC</x:v>
      </x:c>
      <x:c r="M36" s="52" t="n">
        <x:f>B36*(('Nowcast Scenarios'!$B$7/SUM('Nowcast Scenarios'!$B$7:$D$7))/$B$57)</x:f>
        <x:v>2740.7044014026083</x:v>
      </x:c>
      <x:c r="N36" s="52" t="n">
        <x:f>C36*(('Nowcast Scenarios'!$C$7/SUM('Nowcast Scenarios'!$B$7:$D$7))/$C$57)</x:f>
        <x:v>4178.884849592381</x:v>
      </x:c>
      <x:c r="O36" s="52" t="n">
        <x:f>D36*(('Nowcast Scenarios'!$D$7/SUM('Nowcast Scenarios'!$B$7:$D$7))/$D$57)</x:f>
        <x:v>952.4621229165858</x:v>
      </x:c>
      <x:c r="P36" s="18" t="str">
        <x:f>IF(MAX(M36:O36)=M36,"Liberal",IF(MAX(M36:O36)=N36,"PC","Green"))</x:f>
        <x:v>PC</x:v>
      </x:c>
      <x:c r="Q36" s="52" t="n">
        <x:f>B36*(('Nowcast Scenarios'!$B$8/SUM('Nowcast Scenarios'!$B$8:$D$8))/$B$57)</x:f>
        <x:v>2640.9470896594667</x:v>
      </x:c>
      <x:c r="R36" s="52" t="n">
        <x:f>C36*(('Nowcast Scenarios'!$C$8/SUM('Nowcast Scenarios'!$B$8:$D$8))/$C$57)</x:f>
        <x:v>4465.176277178139</x:v>
      </x:c>
      <x:c r="S36" s="52" t="n">
        <x:f>D36*(('Nowcast Scenarios'!$D$8/SUM('Nowcast Scenarios'!$B$8:$D$8))/$D$57)</x:f>
        <x:v>919.408177183562</x:v>
      </x:c>
      <x:c r="T36" s="18" t="str">
        <x:f>IF(MAX(Q36:S36)=Q36,"Liberal",IF(MAX(Q36:S36)=R36,"PC","Green"))</x:f>
        <x:v>PC</x:v>
      </x:c>
      <x:c r="U36" s="52" t="n">
        <x:f>B36*(('Nowcast Scenarios'!$B$9/SUM('Nowcast Scenarios'!$B$9:$D$9))/$B$57)</x:f>
        <x:v>2487.9522031331076</x:v>
      </x:c>
      <x:c r="V36" s="52" t="n">
        <x:f>C36*(('Nowcast Scenarios'!$C$9/SUM('Nowcast Scenarios'!$B$9:$D$9))/$C$57)</x:f>
        <x:v>4803.806676496237</x:v>
      </x:c>
      <x:c r="W36" s="52" t="n">
        <x:f>D36*(('Nowcast Scenarios'!$D$9/SUM('Nowcast Scenarios'!$B$9:$D$9))/$D$57)</x:f>
        <x:v>919.408177183562</x:v>
      </x:c>
      <x:c r="X36" s="18" t="str">
        <x:f>IF(MAX(U36:W36)=U36,"Liberal",IF(MAX(U36:W36)=V36,"PC","Green"))</x:f>
        <x:v>PC</x:v>
      </x:c>
      <x:c r="Y36" s="52" t="n">
        <x:f>B36*(('Nowcast Scenarios'!$B$10/SUM('Nowcast Scenarios'!$B$10:$D$10))/$B$57)</x:f>
        <x:v>2026.5196253696076</x:v>
      </x:c>
      <x:c r="Z36" s="52" t="n">
        <x:f>C36*(('Nowcast Scenarios'!$C$10/SUM('Nowcast Scenarios'!$B$10:$D$10))/$C$57)</x:f>
        <x:v>5825.115960839621</x:v>
      </x:c>
      <x:c r="AA36" s="52" t="n">
        <x:f>D36*(('Nowcast Scenarios'!$D$10/SUM('Nowcast Scenarios'!$B$10:$D$10))/$D$57)</x:f>
        <x:v>919.408177183562</x:v>
      </x:c>
      <x:c r="AB36" s="18" t="str">
        <x:f>IF(MAX(Y36:AA36)=Y36,"Liberal",IF(MAX(Y36:AA36)=Z36,"PC","Green"))</x:f>
        <x:v>PC</x:v>
      </x:c>
      <x:c r="AC36" s="52" t="n">
        <x:f>B36*(('Nowcast Scenarios'!$B$11/SUM('Nowcast Scenarios'!$B$11:$D$11))/$B$57)</x:f>
        <x:v>2390.3658446950467</x:v>
      </x:c>
      <x:c r="AD36" s="52" t="n">
        <x:f>C36*(('Nowcast Scenarios'!$C$11/SUM('Nowcast Scenarios'!$B$11:$D$11))/$C$57)</x:f>
        <x:v>5019.798911767356</x:v>
      </x:c>
      <x:c r="AE36" s="52" t="n">
        <x:f>D36*(('Nowcast Scenarios'!$D$11/SUM('Nowcast Scenarios'!$B$11:$D$11))/$D$57)</x:f>
        <x:v>919.408177183562</x:v>
      </x:c>
      <x:c r="AF36" s="18" t="str">
        <x:f>IF(MAX(AC36:AE36)=AC36,"Liberal",IF(MAX(AC36:AE36)=AD36,"PC","Green"))</x:f>
        <x:v>PC</x:v>
      </x:c>
      <x:c r="AG36" s="52" t="n">
        <x:f>B36*(('Nowcast Scenarios'!$B$12/SUM('Nowcast Scenarios'!$B$12:$D$12))/$B$57)</x:f>
        <x:v>2329.167890084503</x:v>
      </x:c>
      <x:c r="AH36" s="52" t="n">
        <x:f>C36*(('Nowcast Scenarios'!$C$12/SUM('Nowcast Scenarios'!$B$12:$D$12))/$C$57)</x:f>
        <x:v>5155.251071494596</x:v>
      </x:c>
      <x:c r="AI36" s="52" t="n">
        <x:f>D36*(('Nowcast Scenarios'!$D$12/SUM('Nowcast Scenarios'!$B$12:$D$12))/$D$57)</x:f>
        <x:v>919.408177183562</x:v>
      </x:c>
      <x:c r="AJ36" s="18" t="str">
        <x:f>IF(MAX(AG36:AI36)=AG36,"Liberal",IF(MAX(AG36:AI36)=AH36,"PC","Green"))</x:f>
        <x:v>PC</x:v>
      </x:c>
    </x:row>
    <x:row r="37">
      <x:c r="A37" s="18" t="str">
        <x:v>Quispamsis</x:v>
      </x:c>
      <x:c r="B37" s="18" t="n">
        <x:v>3861</x:v>
      </x:c>
      <x:c r="C37" s="18" t="n">
        <x:v>3668</x:v>
      </x:c>
      <x:c r="D37" s="18" t="n">
        <x:v>378</x:v>
      </x:c>
      <x:c r="E37" s="52" t="n">
        <x:f>B37*(('Nowcast Scenarios'!$B$5/SUM('Nowcast Scenarios'!$B$5:$D$5))/$B$57)</x:f>
        <x:v>3515.3643019531837</x:v>
      </x:c>
      <x:c r="F37" s="52" t="n">
        <x:f>C37*(('Nowcast Scenarios'!$C$5/SUM('Nowcast Scenarios'!$B$5:$D$5))/$C$57)</x:f>
        <x:v>4170.021511733221</x:v>
      </x:c>
      <x:c r="G37" s="52" t="n">
        <x:f>D37*(('Nowcast Scenarios'!$D$5/SUM('Nowcast Scenarios'!$B$5:$D$5))/$D$57)</x:f>
        <x:v>364.88331873556814</x:v>
      </x:c>
      <x:c r="H37" s="18" t="str">
        <x:f>IF(MAX(E37:G37)=E37,"Liberal",IF(MAX(E37:G37)=F37,"PC","Green"))</x:f>
        <x:v>PC</x:v>
      </x:c>
      <x:c r="I37" s="52" t="n">
        <x:f>B37*(('Nowcast Scenarios'!$B$6/SUM('Nowcast Scenarios'!$B$6:$D$6))/$B$57)</x:f>
        <x:v>3749.346047792891</x:v>
      </x:c>
      <x:c r="J37" s="52" t="n">
        <x:f>C37*(('Nowcast Scenarios'!$C$6/SUM('Nowcast Scenarios'!$B$6:$D$6))/$C$57)</x:f>
        <x:v>3677.804118438451</x:v>
      </x:c>
      <x:c r="K37" s="52" t="n">
        <x:f>D37*(('Nowcast Scenarios'!$D$6/SUM('Nowcast Scenarios'!$B$6:$D$6))/$D$57)</x:f>
        <x:v>413.7602619614201</x:v>
      </x:c>
      <x:c r="L37" s="18" t="str">
        <x:f>IF(MAX(I37:K37)=I37,"Liberal",IF(MAX(I37:K37)=J37,"PC","Green"))</x:f>
        <x:v>Liberal</x:v>
      </x:c>
      <x:c r="M37" s="52" t="n">
        <x:f>B37*(('Nowcast Scenarios'!$B$7/SUM('Nowcast Scenarios'!$B$7:$D$7))/$B$57)</x:f>
        <x:v>3883.251263785494</x:v>
      </x:c>
      <x:c r="N37" s="52" t="n">
        <x:f>C37*(('Nowcast Scenarios'!$C$7/SUM('Nowcast Scenarios'!$B$7:$D$7))/$C$57)</x:f>
        <x:v>3498.778732779013</x:v>
      </x:c>
      <x:c r="O37" s="52" t="n">
        <x:f>D37*(('Nowcast Scenarios'!$D$7/SUM('Nowcast Scenarios'!$B$7:$D$7))/$D$57)</x:f>
        <x:v>414.781892237868</x:v>
      </x:c>
      <x:c r="P37" s="18" t="str">
        <x:f>IF(MAX(M37:O37)=M37,"Liberal",IF(MAX(M37:O37)=N37,"PC","Green"))</x:f>
        <x:v>Liberal</x:v>
      </x:c>
      <x:c r="Q37" s="52" t="n">
        <x:f>B37*(('Nowcast Scenarios'!$B$8/SUM('Nowcast Scenarios'!$B$8:$D$8))/$B$57)</x:f>
        <x:v>3741.9070507064957</x:v>
      </x:c>
      <x:c r="R37" s="52" t="n">
        <x:f>C37*(('Nowcast Scenarios'!$C$8/SUM('Nowcast Scenarios'!$B$8:$D$8))/$C$57)</x:f>
        <x:v>3738.476736975442</x:v>
      </x:c>
      <x:c r="S37" s="52" t="n">
        <x:f>D37*(('Nowcast Scenarios'!$D$8/SUM('Nowcast Scenarios'!$B$8:$D$8))/$D$57)</x:f>
        <x:v>400.38743199929314</x:v>
      </x:c>
      <x:c r="T37" s="18" t="str">
        <x:f>IF(MAX(Q37:S37)=Q37,"Liberal",IF(MAX(Q37:S37)=R37,"PC","Green"))</x:f>
        <x:v>Liberal</x:v>
      </x:c>
      <x:c r="U37" s="52" t="n">
        <x:f>B37*(('Nowcast Scenarios'!$B$9/SUM('Nowcast Scenarios'!$B$9:$D$9))/$B$57)</x:f>
        <x:v>3525.131543595203</x:v>
      </x:c>
      <x:c r="V37" s="52" t="n">
        <x:f>C37*(('Nowcast Scenarios'!$C$9/SUM('Nowcast Scenarios'!$B$9:$D$9))/$C$57)</x:f>
        <x:v>4021.995637842547</x:v>
      </x:c>
      <x:c r="W37" s="52" t="n">
        <x:f>D37*(('Nowcast Scenarios'!$D$9/SUM('Nowcast Scenarios'!$B$9:$D$9))/$D$57)</x:f>
        <x:v>400.38743199929314</x:v>
      </x:c>
      <x:c r="X37" s="18" t="str">
        <x:f>IF(MAX(U37:W37)=U37,"Liberal",IF(MAX(U37:W37)=V37,"PC","Green"))</x:f>
        <x:v>PC</x:v>
      </x:c>
      <x:c r="Y37" s="52" t="n">
        <x:f>B37*(('Nowcast Scenarios'!$B$10/SUM('Nowcast Scenarios'!$B$10:$D$10))/$B$57)</x:f>
        <x:v>2871.336614147543</x:v>
      </x:c>
      <x:c r="Z37" s="52" t="n">
        <x:f>C37*(('Nowcast Scenarios'!$C$10/SUM('Nowcast Scenarios'!$B$10:$D$10))/$C$57)</x:f>
        <x:v>4877.088642857733</x:v>
      </x:c>
      <x:c r="AA37" s="52" t="n">
        <x:f>D37*(('Nowcast Scenarios'!$D$10/SUM('Nowcast Scenarios'!$B$10:$D$10))/$D$57)</x:f>
        <x:v>400.38743199929314</x:v>
      </x:c>
      <x:c r="AB37" s="18" t="str">
        <x:f>IF(MAX(Y37:AA37)=Y37,"Liberal",IF(MAX(Y37:AA37)=Z37,"PC","Green"))</x:f>
        <x:v>PC</x:v>
      </x:c>
      <x:c r="AC37" s="52" t="n">
        <x:f>B37*(('Nowcast Scenarios'!$B$11/SUM('Nowcast Scenarios'!$B$11:$D$11))/$B$57)</x:f>
        <x:v>3386.863312428468</x:v>
      </x:c>
      <x:c r="AD37" s="52" t="n">
        <x:f>C37*(('Nowcast Scenarios'!$C$11/SUM('Nowcast Scenarios'!$B$11:$D$11))/$C$57)</x:f>
        <x:v>4202.8355189140975</x:v>
      </x:c>
      <x:c r="AE37" s="52" t="n">
        <x:f>D37*(('Nowcast Scenarios'!$D$11/SUM('Nowcast Scenarios'!$B$11:$D$11))/$D$57)</x:f>
        <x:v>400.38743199929314</x:v>
      </x:c>
      <x:c r="AF37" s="18" t="str">
        <x:f>IF(MAX(AC37:AE37)=AC37,"Liberal",IF(MAX(AC37:AE37)=AD37,"PC","Green"))</x:f>
        <x:v>PC</x:v>
      </x:c>
      <x:c r="AG37" s="52" t="n">
        <x:f>B37*(('Nowcast Scenarios'!$B$12/SUM('Nowcast Scenarios'!$B$12:$D$12))/$B$57)</x:f>
        <x:v>3300.153109583951</x:v>
      </x:c>
      <x:c r="AH37" s="52" t="n">
        <x:f>C37*(('Nowcast Scenarios'!$C$12/SUM('Nowcast Scenarios'!$B$12:$D$12))/$C$57)</x:f>
        <x:v>4316.243079260939</x:v>
      </x:c>
      <x:c r="AI37" s="52" t="n">
        <x:f>D37*(('Nowcast Scenarios'!$D$12/SUM('Nowcast Scenarios'!$B$12:$D$12))/$D$57)</x:f>
        <x:v>400.38743199929314</x:v>
      </x:c>
      <x:c r="AJ37" s="18" t="str">
        <x:f>IF(MAX(AG37:AI37)=AG37,"Liberal",IF(MAX(AG37:AI37)=AH37,"PC","Green"))</x:f>
        <x:v>PC</x:v>
      </x:c>
    </x:row>
    <x:row r="38">
      <x:c r="A38" s="18" t="str">
        <x:v>Restigouche East</x:v>
      </x:c>
      <x:c r="B38" s="18" t="n">
        <x:v>3590</x:v>
      </x:c>
      <x:c r="C38" s="18" t="n">
        <x:v>2271</x:v>
      </x:c>
      <x:c r="D38" s="18" t="n">
        <x:v>389</x:v>
      </x:c>
      <x:c r="E38" s="52" t="n">
        <x:f>B38*(('Nowcast Scenarios'!$B$5/SUM('Nowcast Scenarios'!$B$5:$D$5))/$B$57)</x:f>
        <x:v>3268.62415022324</x:v>
      </x:c>
      <x:c r="F38" s="52" t="n">
        <x:f>C38*(('Nowcast Scenarios'!$C$5/SUM('Nowcast Scenarios'!$B$5:$D$5))/$C$57)</x:f>
        <x:v>2581.820843278665</x:v>
      </x:c>
      <x:c r="G38" s="52" t="n">
        <x:f>D38*(('Nowcast Scenarios'!$D$5/SUM('Nowcast Scenarios'!$B$5:$D$5))/$D$57)</x:f>
        <x:v>375.5016163707302</x:v>
      </x:c>
      <x:c r="H38" s="18" t="str">
        <x:f>IF(MAX(E38:G38)=E38,"Liberal",IF(MAX(E38:G38)=F38,"PC","Green"))</x:f>
        <x:v>Liberal</x:v>
      </x:c>
      <x:c r="I38" s="52" t="n">
        <x:f>B38*(('Nowcast Scenarios'!$B$6/SUM('Nowcast Scenarios'!$B$6:$D$6))/$B$57)</x:f>
        <x:v>3486.182934881243</x:v>
      </x:c>
      <x:c r="J38" s="52" t="n">
        <x:f>C38*(('Nowcast Scenarios'!$C$6/SUM('Nowcast Scenarios'!$B$6:$D$6))/$C$57)</x:f>
        <x:v>2277.070107135693</x:v>
      </x:c>
      <x:c r="K38" s="52" t="n">
        <x:f>D38*(('Nowcast Scenarios'!$D$6/SUM('Nowcast Scenarios'!$B$6:$D$6))/$D$57)</x:f>
        <x:v>425.8009045052709</x:v>
      </x:c>
      <x:c r="L38" s="18" t="str">
        <x:f>IF(MAX(I38:K38)=I38,"Liberal",IF(MAX(I38:K38)=J38,"PC","Green"))</x:f>
        <x:v>Liberal</x:v>
      </x:c>
      <x:c r="M38" s="52" t="n">
        <x:f>B38*(('Nowcast Scenarios'!$B$7/SUM('Nowcast Scenarios'!$B$7:$D$7))/$B$57)</x:f>
        <x:v>3610.6894682698585</x:v>
      </x:c>
      <x:c r="N38" s="52" t="n">
        <x:f>C38*(('Nowcast Scenarios'!$C$7/SUM('Nowcast Scenarios'!$B$7:$D$7))/$C$57)</x:f>
        <x:v>2166.2285992751194</x:v>
      </x:c>
      <x:c r="O38" s="52" t="n">
        <x:f>D38*(('Nowcast Scenarios'!$D$7/SUM('Nowcast Scenarios'!$B$7:$D$7))/$D$57)</x:f>
        <x:v>426.85226476330865</x:v>
      </x:c>
      <x:c r="P38" s="18" t="str">
        <x:f>IF(MAX(M38:O38)=M38,"Liberal",IF(MAX(M38:O38)=N38,"PC","Green"))</x:f>
        <x:v>Liberal</x:v>
      </x:c>
      <x:c r="Q38" s="52" t="n">
        <x:f>B38*(('Nowcast Scenarios'!$B$8/SUM('Nowcast Scenarios'!$B$8:$D$8))/$B$57)</x:f>
        <x:v>3479.266074083481</x:v>
      </x:c>
      <x:c r="R38" s="52" t="n">
        <x:f>C38*(('Nowcast Scenarios'!$C$8/SUM('Nowcast Scenarios'!$B$8:$D$8))/$C$57)</x:f>
        <x:v>2314.6348608700187</x:v>
      </x:c>
      <x:c r="S38" s="52" t="n">
        <x:f>D38*(('Nowcast Scenarios'!$D$8/SUM('Nowcast Scenarios'!$B$8:$D$8))/$D$57)</x:f>
        <x:v>412.0389181156747</x:v>
      </x:c>
      <x:c r="T38" s="18" t="str">
        <x:f>IF(MAX(Q38:S38)=Q38,"Liberal",IF(MAX(Q38:S38)=R38,"PC","Green"))</x:f>
        <x:v>Liberal</x:v>
      </x:c>
      <x:c r="U38" s="52" t="n">
        <x:f>B38*(('Nowcast Scenarios'!$B$9/SUM('Nowcast Scenarios'!$B$9:$D$9))/$B$57)</x:f>
        <x:v>3277.7058382560936</x:v>
      </x:c>
      <x:c r="V38" s="52" t="n">
        <x:f>C38*(('Nowcast Scenarios'!$C$9/SUM('Nowcast Scenarios'!$B$9:$D$9))/$C$57)</x:f>
        <x:v>2490.1723264832126</x:v>
      </x:c>
      <x:c r="W38" s="52" t="n">
        <x:f>D38*(('Nowcast Scenarios'!$D$9/SUM('Nowcast Scenarios'!$B$9:$D$9))/$D$57)</x:f>
        <x:v>412.0389181156747</x:v>
      </x:c>
      <x:c r="X38" s="18" t="str">
        <x:f>IF(MAX(U38:W38)=U38,"Liberal",IF(MAX(U38:W38)=V38,"PC","Green"))</x:f>
        <x:v>Liberal</x:v>
      </x:c>
      <x:c r="Y38" s="52" t="n">
        <x:f>B38*(('Nowcast Scenarios'!$B$10/SUM('Nowcast Scenarios'!$B$10:$D$10))/$B$57)</x:f>
        <x:v>2669.800167000694</x:v>
      </x:c>
      <x:c r="Z38" s="52" t="n">
        <x:f>C38*(('Nowcast Scenarios'!$C$10/SUM('Nowcast Scenarios'!$B$10:$D$10))/$C$57)</x:f>
        <x:v>3019.593322772604</x:v>
      </x:c>
      <x:c r="AA38" s="52" t="n">
        <x:f>D38*(('Nowcast Scenarios'!$D$10/SUM('Nowcast Scenarios'!$B$10:$D$10))/$D$57)</x:f>
        <x:v>412.0389181156747</x:v>
      </x:c>
      <x:c r="AB38" s="18" t="str">
        <x:f>IF(MAX(Y38:AA38)=Y38,"Liberal",IF(MAX(Y38:AA38)=Z38,"PC","Green"))</x:f>
        <x:v>PC</x:v>
      </x:c>
      <x:c r="AC38" s="52" t="n">
        <x:f>B38*(('Nowcast Scenarios'!$B$11/SUM('Nowcast Scenarios'!$B$11:$D$11))/$B$57)</x:f>
        <x:v>3149.1425256716393</x:v>
      </x:c>
      <x:c r="AD38" s="52" t="n">
        <x:f>C38*(('Nowcast Scenarios'!$C$11/SUM('Nowcast Scenarios'!$B$11:$D$11))/$C$57)</x:f>
        <x:v>2602.137258302594</x:v>
      </x:c>
      <x:c r="AE38" s="52" t="n">
        <x:f>D38*(('Nowcast Scenarios'!$D$11/SUM('Nowcast Scenarios'!$B$11:$D$11))/$D$57)</x:f>
        <x:v>412.0389181156747</x:v>
      </x:c>
      <x:c r="AF38" s="18" t="str">
        <x:f>IF(MAX(AC38:AE38)=AC38,"Liberal",IF(MAX(AC38:AE38)=AD38,"PC","Green"))</x:f>
        <x:v>Liberal</x:v>
      </x:c>
      <x:c r="AG38" s="52" t="n">
        <x:f>B38*(('Nowcast Scenarios'!$B$12/SUM('Nowcast Scenarios'!$B$12:$D$12))/$B$57)</x:f>
        <x:v>3068.518431340685</x:v>
      </x:c>
      <x:c r="AH38" s="52" t="n">
        <x:f>C38*(('Nowcast Scenarios'!$C$12/SUM('Nowcast Scenarios'!$B$12:$D$12))/$C$57)</x:f>
        <x:v>2672.352244547872</x:v>
      </x:c>
      <x:c r="AI38" s="52" t="n">
        <x:f>D38*(('Nowcast Scenarios'!$D$12/SUM('Nowcast Scenarios'!$B$12:$D$12))/$D$57)</x:f>
        <x:v>412.0389181156747</x:v>
      </x:c>
      <x:c r="AJ38" s="18" t="str">
        <x:f>IF(MAX(AG38:AI38)=AG38,"Liberal",IF(MAX(AG38:AI38)=AH38,"PC","Green"))</x:f>
        <x:v>Liberal</x:v>
      </x:c>
    </x:row>
    <x:row r="39">
      <x:c r="A39" s="18" t="str">
        <x:v>Restigouche West</x:v>
      </x:c>
      <x:c r="B39" s="18" t="n">
        <x:v>3993</x:v>
      </x:c>
      <x:c r="C39" s="18" t="n">
        <x:v>1733</x:v>
      </x:c>
      <x:c r="D39" s="18" t="n">
        <x:v>380</x:v>
      </x:c>
      <x:c r="E39" s="52" t="n">
        <x:f>B39*(('Nowcast Scenarios'!$B$5/SUM('Nowcast Scenarios'!$B$5:$D$5))/$B$57)</x:f>
        <x:v>3635.547696891754</x:v>
      </x:c>
      <x:c r="F39" s="52" t="n">
        <x:f>C39*(('Nowcast Scenarios'!$C$5/SUM('Nowcast Scenarios'!$B$5:$D$5))/$C$57)</x:f>
        <x:v>1970.1873718194306</x:v>
      </x:c>
      <x:c r="G39" s="52" t="n">
        <x:f>D39*(('Nowcast Scenarios'!$D$5/SUM('Nowcast Scenarios'!$B$5:$D$5))/$D$57)</x:f>
        <x:v>366.8139183055976</x:v>
      </x:c>
      <x:c r="H39" s="18" t="str">
        <x:f>IF(MAX(E39:G39)=E39,"Liberal",IF(MAX(E39:G39)=F39,"PC","Green"))</x:f>
        <x:v>Liberal</x:v>
      </x:c>
      <x:c r="I39" s="52" t="n">
        <x:f>B39*(('Nowcast Scenarios'!$B$6/SUM('Nowcast Scenarios'!$B$6:$D$6))/$B$57)</x:f>
        <x:v>3877.5288186576054</x:v>
      </x:c>
      <x:c r="J39" s="52" t="n">
        <x:f>C39*(('Nowcast Scenarios'!$C$6/SUM('Nowcast Scenarios'!$B$6:$D$6))/$C$57)</x:f>
        <x:v>1737.6320984879594</x:v>
      </x:c>
      <x:c r="K39" s="52" t="n">
        <x:f>D39*(('Nowcast Scenarios'!$D$6/SUM('Nowcast Scenarios'!$B$6:$D$6))/$D$57)</x:f>
        <x:v>415.9494696966657</x:v>
      </x:c>
      <x:c r="L39" s="18" t="str">
        <x:f>IF(MAX(I39:K39)=I39,"Liberal",IF(MAX(I39:K39)=J39,"PC","Green"))</x:f>
        <x:v>Liberal</x:v>
      </x:c>
      <x:c r="M39" s="52" t="n">
        <x:f>B39*(('Nowcast Scenarios'!$B$7/SUM('Nowcast Scenarios'!$B$7:$D$7))/$B$57)</x:f>
        <x:v>4016.0119907525195</x:v>
      </x:c>
      <x:c r="N39" s="52" t="n">
        <x:f>C39*(('Nowcast Scenarios'!$C$7/SUM('Nowcast Scenarios'!$B$7:$D$7))/$C$57)</x:f>
        <x:v>1653.0489487202915</x:v>
      </x:c>
      <x:c r="O39" s="52" t="n">
        <x:f>D39*(('Nowcast Scenarios'!$D$7/SUM('Nowcast Scenarios'!$B$7:$D$7))/$D$57)</x:f>
        <x:v>416.97650542431177</x:v>
      </x:c>
      <x:c r="P39" s="18" t="str">
        <x:f>IF(MAX(M39:O39)=M39,"Liberal",IF(MAX(M39:O39)=N39,"PC","Green"))</x:f>
        <x:v>Liberal</x:v>
      </x:c>
      <x:c r="Q39" s="52" t="n">
        <x:f>B39*(('Nowcast Scenarios'!$B$8/SUM('Nowcast Scenarios'!$B$8:$D$8))/$B$57)</x:f>
        <x:v>3869.8354968844956</x:v>
      </x:c>
      <x:c r="R39" s="52" t="n">
        <x:f>C39*(('Nowcast Scenarios'!$C$8/SUM('Nowcast Scenarios'!$B$8:$D$8))/$C$57)</x:f>
        <x:v>1766.2977604085172</x:v>
      </x:c>
      <x:c r="S39" s="52" t="n">
        <x:f>D39*(('Nowcast Scenarios'!$D$8/SUM('Nowcast Scenarios'!$B$8:$D$8))/$D$57)</x:f>
        <x:v>402.5058840204534</x:v>
      </x:c>
      <x:c r="T39" s="18" t="str">
        <x:f>IF(MAX(Q39:S39)=Q39,"Liberal",IF(MAX(Q39:S39)=R39,"PC","Green"))</x:f>
        <x:v>Liberal</x:v>
      </x:c>
      <x:c r="U39" s="52" t="n">
        <x:f>B39*(('Nowcast Scenarios'!$B$9/SUM('Nowcast Scenarios'!$B$9:$D$9))/$B$57)</x:f>
        <x:v>3645.6488613249535</x:v>
      </x:c>
      <x:c r="V39" s="52" t="n">
        <x:f>C39*(('Nowcast Scenarios'!$C$9/SUM('Nowcast Scenarios'!$B$9:$D$9))/$C$57)</x:f>
        <x:v>1900.2503926884224</x:v>
      </x:c>
      <x:c r="W39" s="52" t="n">
        <x:f>D39*(('Nowcast Scenarios'!$D$9/SUM('Nowcast Scenarios'!$B$9:$D$9))/$D$57)</x:f>
        <x:v>402.5058840204534</x:v>
      </x:c>
      <x:c r="X39" s="18" t="str">
        <x:f>IF(MAX(U39:W39)=U39,"Liberal",IF(MAX(U39:W39)=V39,"PC","Green"))</x:f>
        <x:v>Liberal</x:v>
      </x:c>
      <x:c r="Y39" s="52" t="n">
        <x:f>B39*(('Nowcast Scenarios'!$B$10/SUM('Nowcast Scenarios'!$B$10:$D$10))/$B$57)</x:f>
        <x:v>2969.5019684773733</x:v>
      </x:c>
      <x:c r="Z39" s="52" t="n">
        <x:f>C39*(('Nowcast Scenarios'!$C$10/SUM('Nowcast Scenarios'!$B$10:$D$10))/$C$57)</x:f>
        <x:v>2304.251531644616</x:v>
      </x:c>
      <x:c r="AA39" s="52" t="n">
        <x:f>D39*(('Nowcast Scenarios'!$D$10/SUM('Nowcast Scenarios'!$B$10:$D$10))/$D$57)</x:f>
        <x:v>402.5058840204534</x:v>
      </x:c>
      <x:c r="AB39" s="18" t="str">
        <x:f>IF(MAX(Y39:AA39)=Y39,"Liberal",IF(MAX(Y39:AA39)=Z39,"PC","Green"))</x:f>
        <x:v>Liberal</x:v>
      </x:c>
      <x:c r="AC39" s="52" t="n">
        <x:f>B39*(('Nowcast Scenarios'!$B$11/SUM('Nowcast Scenarios'!$B$11:$D$11))/$B$57)</x:f>
        <x:v>3502.653511143971</x:v>
      </x:c>
      <x:c r="AD39" s="52" t="n">
        <x:f>C39*(('Nowcast Scenarios'!$C$11/SUM('Nowcast Scenarios'!$B$11:$D$11))/$C$57)</x:f>
        <x:v>1985.6908272295886</x:v>
      </x:c>
      <x:c r="AE39" s="52" t="n">
        <x:f>D39*(('Nowcast Scenarios'!$D$11/SUM('Nowcast Scenarios'!$B$11:$D$11))/$D$57)</x:f>
        <x:v>402.5058840204534</x:v>
      </x:c>
      <x:c r="AF39" s="18" t="str">
        <x:f>IF(MAX(AC39:AE39)=AC39,"Liberal",IF(MAX(AC39:AE39)=AD39,"PC","Green"))</x:f>
        <x:v>Liberal</x:v>
      </x:c>
      <x:c r="AG39" s="52" t="n">
        <x:f>B39*(('Nowcast Scenarios'!$B$12/SUM('Nowcast Scenarios'!$B$12:$D$12))/$B$57)</x:f>
        <x:v>3412.9788569201546</x:v>
      </x:c>
      <x:c r="AH39" s="52" t="n">
        <x:f>C39*(('Nowcast Scenarios'!$C$12/SUM('Nowcast Scenarios'!$B$12:$D$12))/$C$57)</x:f>
        <x:v>2039.2718801415508</x:v>
      </x:c>
      <x:c r="AI39" s="52" t="n">
        <x:f>D39*(('Nowcast Scenarios'!$D$12/SUM('Nowcast Scenarios'!$B$12:$D$12))/$D$57)</x:f>
        <x:v>402.5058840204534</x:v>
      </x:c>
      <x:c r="AJ39" s="18" t="str">
        <x:f>IF(MAX(AG39:AI39)=AG39,"Liberal",IF(MAX(AG39:AI39)=AH39,"PC","Green"))</x:f>
        <x:v>Liberal</x:v>
      </x:c>
    </x:row>
    <x:row r="40">
      <x:c r="A40" s="18" t="str">
        <x:v>Riverview</x:v>
      </x:c>
      <x:c r="B40" s="18" t="n">
        <x:v>2740</x:v>
      </x:c>
      <x:c r="C40" s="18" t="n">
        <x:v>3114</x:v>
      </x:c>
      <x:c r="D40" s="18" t="n">
        <x:v>1978</x:v>
      </x:c>
      <x:c r="E40" s="52" t="n">
        <x:f>B40*(('Nowcast Scenarios'!$B$5/SUM('Nowcast Scenarios'!$B$5:$D$5))/$B$57)</x:f>
        <x:v>2494.7159252400215</x:v>
      </x:c>
      <x:c r="F40" s="52" t="n">
        <x:f>C40*(('Nowcast Scenarios'!$C$5/SUM('Nowcast Scenarios'!$B$5:$D$5))/$C$57)</x:f>
        <x:v>3540.198197256611</x:v>
      </x:c>
      <x:c r="G40" s="52" t="n">
        <x:f>D40*(('Nowcast Scenarios'!$D$5/SUM('Nowcast Scenarios'!$B$5:$D$5))/$D$57)</x:f>
        <x:v>1909.3629747591372</x:v>
      </x:c>
      <x:c r="H40" s="18" t="str">
        <x:f>IF(MAX(E40:G40)=E40,"Liberal",IF(MAX(E40:G40)=F40,"PC","Green"))</x:f>
        <x:v>PC</x:v>
      </x:c>
      <x:c r="I40" s="52" t="n">
        <x:f>B40*(('Nowcast Scenarios'!$B$6/SUM('Nowcast Scenarios'!$B$6:$D$6))/$B$57)</x:f>
        <x:v>2660.7635770402803</x:v>
      </x:c>
      <x:c r="J40" s="52" t="n">
        <x:f>C40*(('Nowcast Scenarios'!$C$6/SUM('Nowcast Scenarios'!$B$6:$D$6))/$C$57)</x:f>
        <x:v>3122.323343734279</x:v>
      </x:c>
      <x:c r="K40" s="52" t="n">
        <x:f>D40*(('Nowcast Scenarios'!$D$6/SUM('Nowcast Scenarios'!$B$6:$D$6))/$D$57)</x:f>
        <x:v>2165.126450157907</x:v>
      </x:c>
      <x:c r="L40" s="18" t="str">
        <x:f>IF(MAX(I40:K40)=I40,"Liberal",IF(MAX(I40:K40)=J40,"PC","Green"))</x:f>
        <x:v>PC</x:v>
      </x:c>
      <x:c r="M40" s="52" t="n">
        <x:f>B40*(('Nowcast Scenarios'!$B$7/SUM('Nowcast Scenarios'!$B$7:$D$7))/$B$57)</x:f>
        <x:v>2755.7908476488615</x:v>
      </x:c>
      <x:c r="N40" s="52" t="n">
        <x:f>C40*(('Nowcast Scenarios'!$C$7/SUM('Nowcast Scenarios'!$B$7:$D$7))/$C$57)</x:f>
        <x:v>2970.337233880547</x:v>
      </x:c>
      <x:c r="O40" s="52" t="n">
        <x:f>D40*(('Nowcast Scenarios'!$D$7/SUM('Nowcast Scenarios'!$B$7:$D$7))/$D$57)</x:f>
        <x:v>2170.4724413928648</x:v>
      </x:c>
      <x:c r="P40" s="18" t="str">
        <x:f>IF(MAX(M40:O40)=M40,"Liberal",IF(MAX(M40:O40)=N40,"PC","Green"))</x:f>
        <x:v>PC</x:v>
      </x:c>
      <x:c r="Q40" s="52" t="n">
        <x:f>B40*(('Nowcast Scenarios'!$B$8/SUM('Nowcast Scenarios'!$B$8:$D$8))/$B$57)</x:f>
        <x:v>2655.484413088785</x:v>
      </x:c>
      <x:c r="R40" s="52" t="n">
        <x:f>C40*(('Nowcast Scenarios'!$C$8/SUM('Nowcast Scenarios'!$B$8:$D$8))/$C$57)</x:f>
        <x:v>3173.8322134518885</x:v>
      </x:c>
      <x:c r="S40" s="52" t="n">
        <x:f>D40*(('Nowcast Scenarios'!$D$8/SUM('Nowcast Scenarios'!$B$8:$D$8))/$D$57)</x:f>
        <x:v>2095.149048927518</x:v>
      </x:c>
      <x:c r="T40" s="18" t="str">
        <x:f>IF(MAX(Q40:S40)=Q40,"Liberal",IF(MAX(Q40:S40)=R40,"PC","Green"))</x:f>
        <x:v>PC</x:v>
      </x:c>
      <x:c r="U40" s="52" t="n">
        <x:f>B40*(('Nowcast Scenarios'!$B$9/SUM('Nowcast Scenarios'!$B$9:$D$9))/$B$57)</x:f>
        <x:v>2501.6473528751244</x:v>
      </x:c>
      <x:c r="V40" s="52" t="n">
        <x:f>C40*(('Nowcast Scenarios'!$C$9/SUM('Nowcast Scenarios'!$B$9:$D$9))/$C$57)</x:f>
        <x:v>3414.5295573178</x:v>
      </x:c>
      <x:c r="W40" s="52" t="n">
        <x:f>D40*(('Nowcast Scenarios'!$D$9/SUM('Nowcast Scenarios'!$B$9:$D$9))/$D$57)</x:f>
        <x:v>2095.149048927518</x:v>
      </x:c>
      <x:c r="X40" s="18" t="str">
        <x:f>IF(MAX(U40:W40)=U40,"Liberal",IF(MAX(U40:W40)=V40,"PC","Green"))</x:f>
        <x:v>PC</x:v>
      </x:c>
      <x:c r="Y40" s="52" t="n">
        <x:f>B40*(('Nowcast Scenarios'!$B$10/SUM('Nowcast Scenarios'!$B$10:$D$10))/$B$57)</x:f>
        <x:v>2037.6747792707247</x:v>
      </x:c>
      <x:c r="Z40" s="52" t="n">
        <x:f>C40*(('Nowcast Scenarios'!$C$10/SUM('Nowcast Scenarios'!$B$10:$D$10))/$C$57)</x:f>
        <x:v>4140.472746417388</x:v>
      </x:c>
      <x:c r="AA40" s="52" t="n">
        <x:f>D40*(('Nowcast Scenarios'!$D$10/SUM('Nowcast Scenarios'!$B$10:$D$10))/$D$57)</x:f>
        <x:v>2095.149048927518</x:v>
      </x:c>
      <x:c r="AB40" s="18" t="str">
        <x:f>IF(MAX(Y40:AA40)=Y40,"Liberal",IF(MAX(Y40:AA40)=Z40,"PC","Green"))</x:f>
        <x:v>PC</x:v>
      </x:c>
      <x:c r="AC40" s="52" t="n">
        <x:f>B40*(('Nowcast Scenarios'!$B$11/SUM('Nowcast Scenarios'!$B$11:$D$11))/$B$57)</x:f>
        <x:v>2403.5238218218083</x:v>
      </x:c>
      <x:c r="AD40" s="52" t="n">
        <x:f>C40*(('Nowcast Scenarios'!$C$11/SUM('Nowcast Scenarios'!$B$11:$D$11))/$C$57)</x:f>
        <x:v>3568.0561084783258</x:v>
      </x:c>
      <x:c r="AE40" s="52" t="n">
        <x:f>D40*(('Nowcast Scenarios'!$D$11/SUM('Nowcast Scenarios'!$B$11:$D$11))/$D$57)</x:f>
        <x:v>2095.149048927518</x:v>
      </x:c>
      <x:c r="AF40" s="18" t="str">
        <x:f>IF(MAX(AC40:AE40)=AC40,"Liberal",IF(MAX(AC40:AE40)=AD40,"PC","Green"))</x:f>
        <x:v>PC</x:v>
      </x:c>
      <x:c r="AG40" s="52" t="n">
        <x:f>B40*(('Nowcast Scenarios'!$B$12/SUM('Nowcast Scenarios'!$B$12:$D$12))/$B$57)</x:f>
        <x:v>2341.9889977363446</x:v>
      </x:c>
      <x:c r="AH40" s="52" t="n">
        <x:f>C40*(('Nowcast Scenarios'!$C$12/SUM('Nowcast Scenarios'!$B$12:$D$12))/$C$57)</x:f>
        <x:v>3664.3350460246907</x:v>
      </x:c>
      <x:c r="AI40" s="52" t="n">
        <x:f>D40*(('Nowcast Scenarios'!$D$12/SUM('Nowcast Scenarios'!$B$12:$D$12))/$D$57)</x:f>
        <x:v>2095.149048927518</x:v>
      </x:c>
      <x:c r="AJ40" s="18" t="str">
        <x:f>IF(MAX(AG40:AI40)=AG40,"Liberal",IF(MAX(AG40:AI40)=AH40,"PC","Green"))</x:f>
        <x:v>PC</x:v>
      </x:c>
    </x:row>
    <x:row r="41">
      <x:c r="A41" s="18" t="str">
        <x:v>Rothesay</x:v>
      </x:c>
      <x:c r="B41" s="18" t="n">
        <x:v>4085</x:v>
      </x:c>
      <x:c r="C41" s="18" t="n">
        <x:v>3373</x:v>
      </x:c>
      <x:c r="D41" s="18" t="n">
        <x:v>549</x:v>
      </x:c>
      <x:c r="E41" s="52" t="n">
        <x:f>B41*(('Nowcast Scenarios'!$B$5/SUM('Nowcast Scenarios'!$B$5:$D$5))/$B$57)</x:f>
        <x:v>3719.311881242879</x:v>
      </x:c>
      <x:c r="F41" s="52" t="n">
        <x:f>C41*(('Nowcast Scenarios'!$C$5/SUM('Nowcast Scenarios'!$B$5:$D$5))/$C$57)</x:f>
        <x:v>3834.646281100369</x:v>
      </x:c>
      <x:c r="G41" s="52" t="n">
        <x:f>D41*(('Nowcast Scenarios'!$D$5/SUM('Nowcast Scenarios'!$B$5:$D$5))/$D$57)</x:f>
        <x:v>529.9495819730871</x:v>
      </x:c>
      <x:c r="H41" s="18" t="str">
        <x:f>IF(MAX(E41:G41)=E41,"Liberal",IF(MAX(E41:G41)=F41,"PC","Green"))</x:f>
        <x:v>PC</x:v>
      </x:c>
      <x:c r="I41" s="52" t="n">
        <x:f>B41*(('Nowcast Scenarios'!$B$6/SUM('Nowcast Scenarios'!$B$6:$D$6))/$B$57)</x:f>
        <x:v>3966.8683256239215</x:v>
      </x:c>
      <x:c r="J41" s="52" t="n">
        <x:f>C41*(('Nowcast Scenarios'!$C$6/SUM('Nowcast Scenarios'!$B$6:$D$6))/$C$57)</x:f>
        <x:v>3382.0156192728723</x:v>
      </x:c>
      <x:c r="K41" s="52" t="n">
        <x:f>D41*(('Nowcast Scenarios'!$D$6/SUM('Nowcast Scenarios'!$B$6:$D$6))/$D$57)</x:f>
        <x:v>600.9375233249197</x:v>
      </x:c>
      <x:c r="L41" s="18" t="str">
        <x:f>IF(MAX(I41:K41)=I41,"Liberal",IF(MAX(I41:K41)=J41,"PC","Green"))</x:f>
        <x:v>Liberal</x:v>
      </x:c>
      <x:c r="M41" s="52" t="n">
        <x:f>B41*(('Nowcast Scenarios'!$B$7/SUM('Nowcast Scenarios'!$B$7:$D$7))/$B$57)</x:f>
        <x:v>4108.542194396204</x:v>
      </x:c>
      <x:c r="N41" s="52" t="n">
        <x:f>C41*(('Nowcast Scenarios'!$C$7/SUM('Nowcast Scenarios'!$B$7:$D$7))/$C$57)</x:f>
        <x:v>3217.388403943187</x:v>
      </x:c>
      <x:c r="O41" s="52" t="n">
        <x:f>D41*(('Nowcast Scenarios'!$D$7/SUM('Nowcast Scenarios'!$B$7:$D$7))/$D$57)</x:f>
        <x:v>602.4213196788083</x:v>
      </x:c>
      <x:c r="P41" s="18" t="str">
        <x:f>IF(MAX(M41:O41)=M41,"Liberal",IF(MAX(M41:O41)=N41,"PC","Green"))</x:f>
        <x:v>Liberal</x:v>
      </x:c>
      <x:c r="Q41" s="52" t="n">
        <x:f>B41*(('Nowcast Scenarios'!$B$8/SUM('Nowcast Scenarios'!$B$8:$D$8))/$B$57)</x:f>
        <x:v>3958.9977472509804</x:v>
      </x:c>
      <x:c r="R41" s="52" t="n">
        <x:f>C41*(('Nowcast Scenarios'!$C$8/SUM('Nowcast Scenarios'!$B$8:$D$8))/$C$57)</x:f>
        <x:v>3437.8086242688564</x:v>
      </x:c>
      <x:c r="S41" s="52" t="n">
        <x:f>D41*(('Nowcast Scenarios'!$D$8/SUM('Nowcast Scenarios'!$B$8:$D$8))/$D$57)</x:f>
        <x:v>581.5150798084971</x:v>
      </x:c>
      <x:c r="T41" s="18" t="str">
        <x:f>IF(MAX(Q41:S41)=Q41,"Liberal",IF(MAX(Q41:S41)=R41,"PC","Green"))</x:f>
        <x:v>Liberal</x:v>
      </x:c>
      <x:c r="U41" s="52" t="n">
        <x:f>B41*(('Nowcast Scenarios'!$B$9/SUM('Nowcast Scenarios'!$B$9:$D$9))/$B$57)</x:f>
        <x:v>3729.6457797426583</x:v>
      </x:c>
      <x:c r="V41" s="52" t="n">
        <x:f>C41*(('Nowcast Scenarios'!$C$9/SUM('Nowcast Scenarios'!$B$9:$D$9))/$C$57)</x:f>
        <x:v>3698.5254325089722</x:v>
      </x:c>
      <x:c r="W41" s="52" t="n">
        <x:f>D41*(('Nowcast Scenarios'!$D$9/SUM('Nowcast Scenarios'!$B$9:$D$9))/$D$57)</x:f>
        <x:v>581.5150798084971</x:v>
      </x:c>
      <x:c r="X41" s="18" t="str">
        <x:f>IF(MAX(U41:W41)=U41,"Liberal",IF(MAX(U41:W41)=V41,"PC","Green"))</x:f>
        <x:v>Liberal</x:v>
      </x:c>
      <x:c r="Y41" s="52" t="n">
        <x:f>B41*(('Nowcast Scenarios'!$B$10/SUM('Nowcast Scenarios'!$B$10:$D$10))/$B$57)</x:f>
        <x:v>3037.9202457375586</x:v>
      </x:c>
      <x:c r="Z41" s="52" t="n">
        <x:f>C41*(('Nowcast Scenarios'!$C$10/SUM('Nowcast Scenarios'!$B$10:$D$10))/$C$57)</x:f>
        <x:v>4484.84732616116</x:v>
      </x:c>
      <x:c r="AA41" s="52" t="n">
        <x:f>D41*(('Nowcast Scenarios'!$D$10/SUM('Nowcast Scenarios'!$B$10:$D$10))/$D$57)</x:f>
        <x:v>581.5150798084971</x:v>
      </x:c>
      <x:c r="AB41" s="18" t="str">
        <x:f>IF(MAX(Y41:AA41)=Y41,"Liberal",IF(MAX(Y41:AA41)=Z41,"PC","Green"))</x:f>
        <x:v>PC</x:v>
      </x:c>
      <x:c r="AC41" s="52" t="n">
        <x:f>B41*(('Nowcast Scenarios'!$B$11/SUM('Nowcast Scenarios'!$B$11:$D$11))/$B$57)</x:f>
        <x:v>3583.3557708547764</x:v>
      </x:c>
      <x:c r="AD41" s="52" t="n">
        <x:f>C41*(('Nowcast Scenarios'!$C$11/SUM('Nowcast Scenarios'!$B$11:$D$11))/$C$57)</x:f>
        <x:v>3864.8212119131</x:v>
      </x:c>
      <x:c r="AE41" s="52" t="n">
        <x:f>D41*(('Nowcast Scenarios'!$D$11/SUM('Nowcast Scenarios'!$B$11:$D$11))/$D$57)</x:f>
        <x:v>581.5150798084971</x:v>
      </x:c>
      <x:c r="AF41" s="18" t="str">
        <x:f>IF(MAX(AC41:AE41)=AC41,"Liberal",IF(MAX(AC41:AE41)=AD41,"PC","Green"))</x:f>
        <x:v>PC</x:v>
      </x:c>
      <x:c r="AG41" s="52" t="n">
        <x:f>B41*(('Nowcast Scenarios'!$B$12/SUM('Nowcast Scenarios'!$B$12:$D$12))/$B$57)</x:f>
        <x:v>3491.614983851448</x:v>
      </x:c>
      <x:c r="AH41" s="52" t="n">
        <x:f>C41*(('Nowcast Scenarios'!$C$12/SUM('Nowcast Scenarios'!$B$12:$D$12))/$C$57)</x:f>
        <x:v>3969.1079352091465</x:v>
      </x:c>
      <x:c r="AI41" s="52" t="n">
        <x:f>D41*(('Nowcast Scenarios'!$D$12/SUM('Nowcast Scenarios'!$B$12:$D$12))/$D$57)</x:f>
        <x:v>581.5150798084971</x:v>
      </x:c>
      <x:c r="AJ41" s="18" t="str">
        <x:f>IF(MAX(AG41:AI41)=AG41,"Liberal",IF(MAX(AG41:AI41)=AH41,"PC","Green"))</x:f>
        <x:v>PC</x:v>
      </x:c>
    </x:row>
    <x:row r="42">
      <x:c r="A42" s="18" t="str">
        <x:v>Saint Croix</x:v>
      </x:c>
      <x:c r="B42" s="18" t="n">
        <x:v>2063</x:v>
      </x:c>
      <x:c r="C42" s="18" t="n">
        <x:v>3271</x:v>
      </x:c>
      <x:c r="D42" s="18" t="n">
        <x:v>1442</x:v>
      </x:c>
      <x:c r="E42" s="52" t="n">
        <x:f>B42*(('Nowcast Scenarios'!$B$5/SUM('Nowcast Scenarios'!$B$5:$D$5))/$B$57)</x:f>
        <x:v>1878.3207860475054</x:v>
      </x:c>
      <x:c r="F42" s="52" t="n">
        <x:f>C42*(('Nowcast Scenarios'!$C$5/SUM('Nowcast Scenarios'!$B$5:$D$5))/$C$57)</x:f>
        <x:v>3718.686031864603</x:v>
      </x:c>
      <x:c r="G42" s="52" t="n">
        <x:f>D42*(('Nowcast Scenarios'!$D$5/SUM('Nowcast Scenarios'!$B$5:$D$5))/$D$57)</x:f>
        <x:v>1391.9622899912415</x:v>
      </x:c>
      <x:c r="H42" s="18" t="str">
        <x:f>IF(MAX(E42:G42)=E42,"Liberal",IF(MAX(E42:G42)=F42,"PC","Green"))</x:f>
        <x:v>PC</x:v>
      </x:c>
      <x:c r="I42" s="52" t="n">
        <x:f>B42*(('Nowcast Scenarios'!$B$6/SUM('Nowcast Scenarios'!$B$6:$D$6))/$B$57)</x:f>
        <x:v>2003.3413355598898</x:v>
      </x:c>
      <x:c r="J42" s="52" t="n">
        <x:f>C42*(('Nowcast Scenarios'!$C$6/SUM('Nowcast Scenarios'!$B$6:$D$6))/$C$57)</x:f>
        <x:v>3279.742985663079</x:v>
      </x:c>
      <x:c r="K42" s="52" t="n">
        <x:f>D42*(('Nowcast Scenarios'!$D$6/SUM('Nowcast Scenarios'!$B$6:$D$6))/$D$57)</x:f>
        <x:v>1578.4187771120842</x:v>
      </x:c>
      <x:c r="L42" s="18" t="str">
        <x:f>IF(MAX(I42:K42)=I42,"Liberal",IF(MAX(I42:K42)=J42,"PC","Green"))</x:f>
        <x:v>PC</x:v>
      </x:c>
      <x:c r="M42" s="52" t="n">
        <x:f>B42*(('Nowcast Scenarios'!$B$7/SUM('Nowcast Scenarios'!$B$7:$D$7))/$B$57)</x:f>
        <x:v>2074.889240401314</x:v>
      </x:c>
      <x:c r="N42" s="52" t="n">
        <x:f>C42*(('Nowcast Scenarios'!$C$7/SUM('Nowcast Scenarios'!$B$7:$D$7))/$C$57)</x:f>
        <x:v>3120.0941207524947</x:v>
      </x:c>
      <x:c r="O42" s="52" t="n">
        <x:f>D42*(('Nowcast Scenarios'!$D$7/SUM('Nowcast Scenarios'!$B$7:$D$7))/$D$57)</x:f>
        <x:v>1582.316107425941</x:v>
      </x:c>
      <x:c r="P42" s="18" t="str">
        <x:f>IF(MAX(M42:O42)=M42,"Liberal",IF(MAX(M42:O42)=N42,"PC","Green"))</x:f>
        <x:v>PC</x:v>
      </x:c>
      <x:c r="Q42" s="52" t="n">
        <x:f>B42*(('Nowcast Scenarios'!$B$8/SUM('Nowcast Scenarios'!$B$8:$D$8))/$B$57)</x:f>
        <x:v>1999.3665489788916</x:v>
      </x:c>
      <x:c r="R42" s="52" t="n">
        <x:f>C42*(('Nowcast Scenarios'!$C$8/SUM('Nowcast Scenarios'!$B$8:$D$8))/$C$57)</x:f>
        <x:v>3333.8488022482743</x:v>
      </x:c>
      <x:c r="S42" s="52" t="n">
        <x:f>D42*(('Nowcast Scenarios'!$D$8/SUM('Nowcast Scenarios'!$B$8:$D$8))/$D$57)</x:f>
        <x:v>1527.4039072565627</x:v>
      </x:c>
      <x:c r="T42" s="18" t="str">
        <x:f>IF(MAX(Q42:S42)=Q42,"Liberal",IF(MAX(Q42:S42)=R42,"PC","Green"))</x:f>
        <x:v>PC</x:v>
      </x:c>
      <x:c r="U42" s="52" t="n">
        <x:f>B42*(('Nowcast Scenarios'!$B$9/SUM('Nowcast Scenarios'!$B$9:$D$9))/$B$57)</x:f>
        <x:v>1883.5395945187524</x:v>
      </x:c>
      <x:c r="V42" s="52" t="n">
        <x:f>C42*(('Nowcast Scenarios'!$C$9/SUM('Nowcast Scenarios'!$B$9:$D$9))/$C$57)</x:f>
        <x:v>3586.681497105499</x:v>
      </x:c>
      <x:c r="W42" s="52" t="n">
        <x:f>D42*(('Nowcast Scenarios'!$D$9/SUM('Nowcast Scenarios'!$B$9:$D$9))/$D$57)</x:f>
        <x:v>1527.4039072565627</x:v>
      </x:c>
      <x:c r="X42" s="18" t="str">
        <x:f>IF(MAX(U42:W42)=U42,"Liberal",IF(MAX(U42:W42)=V42,"PC","Green"))</x:f>
        <x:v>PC</x:v>
      </x:c>
      <x:c r="Y42" s="52" t="n">
        <x:f>B42*(('Nowcast Scenarios'!$B$10/SUM('Nowcast Scenarios'!$B$10:$D$10))/$B$57)</x:f>
        <x:v>1534.2054998669726</x:v>
      </x:c>
      <x:c r="Z42" s="52" t="n">
        <x:f>C42*(('Nowcast Scenarios'!$C$10/SUM('Nowcast Scenarios'!$B$10:$D$10))/$C$57)</x:f>
        <x:v>4349.224904794887</x:v>
      </x:c>
      <x:c r="AA42" s="52" t="n">
        <x:f>D42*(('Nowcast Scenarios'!$D$10/SUM('Nowcast Scenarios'!$B$10:$D$10))/$D$57)</x:f>
        <x:v>1527.4039072565627</x:v>
      </x:c>
      <x:c r="AB42" s="18" t="str">
        <x:f>IF(MAX(Y42:AA42)=Y42,"Liberal",IF(MAX(Y42:AA42)=Z42,"PC","Green"))</x:f>
        <x:v>PC</x:v>
      </x:c>
      <x:c r="AC42" s="52" t="n">
        <x:f>B42*(('Nowcast Scenarios'!$B$11/SUM('Nowcast Scenarios'!$B$11:$D$11))/$B$57)</x:f>
        <x:v>1809.660454167296</x:v>
      </x:c>
      <x:c r="AD42" s="52" t="n">
        <x:f>C42*(('Nowcast Scenarios'!$C$11/SUM('Nowcast Scenarios'!$B$11:$D$11))/$C$57)</x:f>
        <x:v>3747.948468475467</x:v>
      </x:c>
      <x:c r="AE42" s="52" t="n">
        <x:f>D42*(('Nowcast Scenarios'!$D$11/SUM('Nowcast Scenarios'!$B$11:$D$11))/$D$57)</x:f>
        <x:v>1527.4039072565627</x:v>
      </x:c>
      <x:c r="AF42" s="18" t="str">
        <x:f>IF(MAX(AC42:AE42)=AC42,"Liberal",IF(MAX(AC42:AE42)=AD42,"PC","Green"))</x:f>
        <x:v>PC</x:v>
      </x:c>
      <x:c r="AG42" s="52" t="n">
        <x:f>B42*(('Nowcast Scenarios'!$B$12/SUM('Nowcast Scenarios'!$B$12:$D$12))/$B$57)</x:f>
        <x:v>1763.3296723832402</x:v>
      </x:c>
      <x:c r="AH42" s="52" t="n">
        <x:f>C42*(('Nowcast Scenarios'!$C$12/SUM('Nowcast Scenarios'!$B$12:$D$12))/$C$57)</x:f>
        <x:v>3849.081546418357</x:v>
      </x:c>
      <x:c r="AI42" s="52" t="n">
        <x:f>D42*(('Nowcast Scenarios'!$D$12/SUM('Nowcast Scenarios'!$B$12:$D$12))/$D$57)</x:f>
        <x:v>1527.4039072565627</x:v>
      </x:c>
      <x:c r="AJ42" s="18" t="str">
        <x:f>IF(MAX(AG42:AI42)=AG42,"Liberal",IF(MAX(AG42:AI42)=AH42,"PC","Green"))</x:f>
        <x:v>PC</x:v>
      </x:c>
    </x:row>
    <x:row r="43">
      <x:c r="A43" s="18" t="str">
        <x:v>Saint John East</x:v>
      </x:c>
      <x:c r="B43" s="18" t="n">
        <x:v>3147</x:v>
      </x:c>
      <x:c r="C43" s="18" t="n">
        <x:v>3181</x:v>
      </x:c>
      <x:c r="D43" s="18" t="n">
        <x:v>514</x:v>
      </x:c>
      <x:c r="E43" s="52" t="n">
        <x:f>B43*(('Nowcast Scenarios'!$B$5/SUM('Nowcast Scenarios'!$B$5:$D$5))/$B$57)</x:f>
        <x:v>2865.28139296728</x:v>
      </x:c>
      <x:c r="F43" s="52" t="n">
        <x:f>C43*(('Nowcast Scenarios'!$C$5/SUM('Nowcast Scenarios'!$B$5:$D$5))/$C$57)</x:f>
        <x:v>3616.3681648918687</x:v>
      </x:c>
      <x:c r="G43" s="52" t="n">
        <x:f>D43*(('Nowcast Scenarios'!$D$5/SUM('Nowcast Scenarios'!$B$5:$D$5))/$D$57)</x:f>
        <x:v>496.1640894975715</x:v>
      </x:c>
      <x:c r="H43" s="18" t="str">
        <x:f>IF(MAX(E43:G43)=E43,"Liberal",IF(MAX(E43:G43)=F43,"PC","Green"))</x:f>
        <x:v>PC</x:v>
      </x:c>
      <x:c r="I43" s="52" t="n">
        <x:f>B43*(('Nowcast Scenarios'!$B$6/SUM('Nowcast Scenarios'!$B$6:$D$6))/$B$57)</x:f>
        <x:v>3055.9937872064825</x:v>
      </x:c>
      <x:c r="J43" s="52" t="n">
        <x:f>C43*(('Nowcast Scenarios'!$C$6/SUM('Nowcast Scenarios'!$B$6:$D$6))/$C$57)</x:f>
        <x:v>3189.502426595614</x:v>
      </x:c>
      <x:c r="K43" s="52" t="n">
        <x:f>D43*(('Nowcast Scenarios'!$D$6/SUM('Nowcast Scenarios'!$B$6:$D$6))/$D$57)</x:f>
        <x:v>562.6263879581215</x:v>
      </x:c>
      <x:c r="L43" s="18" t="str">
        <x:f>IF(MAX(I43:K43)=I43,"Liberal",IF(MAX(I43:K43)=J43,"PC","Green"))</x:f>
        <x:v>PC</x:v>
      </x:c>
      <x:c r="M43" s="52" t="n">
        <x:f>B43*(('Nowcast Scenarios'!$B$7/SUM('Nowcast Scenarios'!$B$7:$D$7))/$B$57)</x:f>
        <x:v>3165.1364224638564</x:v>
      </x:c>
      <x:c r="N43" s="52" t="n">
        <x:f>C43*(('Nowcast Scenarios'!$C$7/SUM('Nowcast Scenarios'!$B$7:$D$7))/$C$57)</x:f>
        <x:v>3034.246223819531</x:v>
      </x:c>
      <x:c r="O43" s="52" t="n">
        <x:f>D43*(('Nowcast Scenarios'!$D$7/SUM('Nowcast Scenarios'!$B$7:$D$7))/$D$57)</x:f>
        <x:v>564.0155889160428</x:v>
      </x:c>
      <x:c r="P43" s="18" t="str">
        <x:f>IF(MAX(M43:O43)=M43,"Liberal",IF(MAX(M43:O43)=N43,"PC","Green"))</x:f>
        <x:v>Liberal</x:v>
      </x:c>
      <x:c r="Q43" s="52" t="n">
        <x:f>B43*(('Nowcast Scenarios'!$B$8/SUM('Nowcast Scenarios'!$B$8:$D$8))/$B$57)</x:f>
        <x:v>3049.930455470951</x:v>
      </x:c>
      <x:c r="R43" s="52" t="n">
        <x:f>C43*(('Nowcast Scenarios'!$C$8/SUM('Nowcast Scenarios'!$B$8:$D$8))/$C$57)</x:f>
        <x:v>3242.1195475242316</x:v>
      </x:c>
      <x:c r="S43" s="52" t="n">
        <x:f>D43*(('Nowcast Scenarios'!$D$8/SUM('Nowcast Scenarios'!$B$8:$D$8))/$D$57)</x:f>
        <x:v>544.4421694381922</x:v>
      </x:c>
      <x:c r="T43" s="18" t="str">
        <x:f>IF(MAX(Q43:S43)=Q43,"Liberal",IF(MAX(Q43:S43)=R43,"PC","Green"))</x:f>
        <x:v>PC</x:v>
      </x:c>
      <x:c r="U43" s="52" t="n">
        <x:f>B43*(('Nowcast Scenarios'!$B$9/SUM('Nowcast Scenarios'!$B$9:$D$9))/$B$57)</x:f>
        <x:v>2873.2424158751887</x:v>
      </x:c>
      <x:c r="V43" s="52" t="n">
        <x:f>C43*(('Nowcast Scenarios'!$C$9/SUM('Nowcast Scenarios'!$B$9:$D$9))/$C$57)</x:f>
        <x:v>3487.9956717494933</x:v>
      </x:c>
      <x:c r="W43" s="52" t="n">
        <x:f>D43*(('Nowcast Scenarios'!$D$9/SUM('Nowcast Scenarios'!$B$9:$D$9))/$D$57)</x:f>
        <x:v>544.4421694381922</x:v>
      </x:c>
      <x:c r="X43" s="18" t="str">
        <x:f>IF(MAX(U43:W43)=U43,"Liberal",IF(MAX(U43:W43)=V43,"PC","Green"))</x:f>
        <x:v>PC</x:v>
      </x:c>
      <x:c r="Y43" s="52" t="n">
        <x:f>B43*(('Nowcast Scenarios'!$B$10/SUM('Nowcast Scenarios'!$B$10:$D$10))/$B$57)</x:f>
        <x:v>2340.351288454369</x:v>
      </x:c>
      <x:c r="Z43" s="52" t="n">
        <x:f>C43*(('Nowcast Scenarios'!$C$10/SUM('Nowcast Scenarios'!$B$10:$D$10))/$C$57)</x:f>
        <x:v>4229.558062412882</x:v>
      </x:c>
      <x:c r="AA43" s="52" t="n">
        <x:f>D43*(('Nowcast Scenarios'!$D$10/SUM('Nowcast Scenarios'!$B$10:$D$10))/$D$57)</x:f>
        <x:v>544.4421694381922</x:v>
      </x:c>
      <x:c r="AB43" s="18" t="str">
        <x:f>IF(MAX(Y43:AA43)=Y43,"Liberal",IF(MAX(Y43:AA43)=Z43,"PC","Green"))</x:f>
        <x:v>PC</x:v>
      </x:c>
      <x:c r="AC43" s="52" t="n">
        <x:f>B43*(('Nowcast Scenarios'!$B$11/SUM('Nowcast Scenarios'!$B$11:$D$11))/$B$57)</x:f>
        <x:v>2760.54360119461</x:v>
      </x:c>
      <x:c r="AD43" s="52" t="n">
        <x:f>C43*(('Nowcast Scenarios'!$C$11/SUM('Nowcast Scenarios'!$B$11:$D$11))/$C$57)</x:f>
        <x:v>3644.8254595599083</x:v>
      </x:c>
      <x:c r="AE43" s="52" t="n">
        <x:f>D43*(('Nowcast Scenarios'!$D$11/SUM('Nowcast Scenarios'!$B$11:$D$11))/$D$57)</x:f>
        <x:v>544.4421694381922</x:v>
      </x:c>
      <x:c r="AF43" s="18" t="str">
        <x:f>IF(MAX(AC43:AE43)=AC43,"Liberal",IF(MAX(AC43:AE43)=AD43,"PC","Green"))</x:f>
        <x:v>PC</x:v>
      </x:c>
      <x:c r="AG43" s="52" t="n">
        <x:f>B43*(('Nowcast Scenarios'!$B$12/SUM('Nowcast Scenarios'!$B$12:$D$12))/$B$57)</x:f>
        <x:v>2689.868385356305</x:v>
      </x:c>
      <x:c r="AH43" s="52" t="n">
        <x:f>C43*(('Nowcast Scenarios'!$C$12/SUM('Nowcast Scenarios'!$B$12:$D$12))/$C$57)</x:f>
        <x:v>3743.1759092500133</x:v>
      </x:c>
      <x:c r="AI43" s="52" t="n">
        <x:f>D43*(('Nowcast Scenarios'!$D$12/SUM('Nowcast Scenarios'!$B$12:$D$12))/$D$57)</x:f>
        <x:v>544.4421694381922</x:v>
      </x:c>
      <x:c r="AJ43" s="18" t="str">
        <x:f>IF(MAX(AG43:AI43)=AG43,"Liberal",IF(MAX(AG43:AI43)=AH43,"PC","Green"))</x:f>
        <x:v>PC</x:v>
      </x:c>
    </x:row>
    <x:row r="44">
      <x:c r="A44" s="18" t="str">
        <x:v>Saint John Harbour</x:v>
      </x:c>
      <x:c r="B44" s="18" t="n">
        <x:v>3413</x:v>
      </x:c>
      <x:c r="C44" s="18" t="n">
        <x:v>1563</x:v>
      </x:c>
      <x:c r="D44" s="18" t="n">
        <x:v>715</x:v>
      </x:c>
      <x:c r="E44" s="52" t="n">
        <x:f>B44*(('Nowcast Scenarios'!$B$5/SUM('Nowcast Scenarios'!$B$5:$D$5))/$B$57)</x:f>
        <x:v>3107.4691433737935</x:v>
      </x:c>
      <x:c r="F44" s="52" t="n">
        <x:f>C44*(('Nowcast Scenarios'!$C$5/SUM('Nowcast Scenarios'!$B$5:$D$5))/$C$57)</x:f>
        <x:v>1776.9202897598211</x:v>
      </x:c>
      <x:c r="G44" s="52" t="n">
        <x:f>D44*(('Nowcast Scenarios'!$D$5/SUM('Nowcast Scenarios'!$B$5:$D$5))/$D$57)</x:f>
        <x:v>690.1893462855323</x:v>
      </x:c>
      <x:c r="H44" s="18" t="str">
        <x:f>IF(MAX(E44:G44)=E44,"Liberal",IF(MAX(E44:G44)=F44,"PC","Green"))</x:f>
        <x:v>Liberal</x:v>
      </x:c>
      <x:c r="I44" s="52" t="n">
        <x:f>B44*(('Nowcast Scenarios'!$B$6/SUM('Nowcast Scenarios'!$B$6:$D$6))/$B$57)</x:f>
        <x:v>3314.301492130831</x:v>
      </x:c>
      <x:c r="J44" s="52" t="n">
        <x:f>C44*(('Nowcast Scenarios'!$C$6/SUM('Nowcast Scenarios'!$B$6:$D$6))/$C$57)</x:f>
        <x:v>1567.177709138304</x:v>
      </x:c>
      <x:c r="K44" s="52" t="n">
        <x:f>D44*(('Nowcast Scenarios'!$D$6/SUM('Nowcast Scenarios'!$B$6:$D$6))/$D$57)</x:f>
        <x:v>782.6417653503051</x:v>
      </x:c>
      <x:c r="L44" s="18" t="str">
        <x:f>IF(MAX(I44:K44)=I44,"Liberal",IF(MAX(I44:K44)=J44,"PC","Green"))</x:f>
        <x:v>Liberal</x:v>
      </x:c>
      <x:c r="M44" s="52" t="n">
        <x:f>B44*(('Nowcast Scenarios'!$B$7/SUM('Nowcast Scenarios'!$B$7:$D$7))/$B$57)</x:f>
        <x:v>3432.6694025640745</x:v>
      </x:c>
      <x:c r="N44" s="52" t="n">
        <x:f>C44*(('Nowcast Scenarios'!$C$7/SUM('Nowcast Scenarios'!$B$7:$D$7))/$C$57)</x:f>
        <x:v>1490.8918100691376</x:v>
      </x:c>
      <x:c r="O44" s="52" t="n">
        <x:f>D44*(('Nowcast Scenarios'!$D$7/SUM('Nowcast Scenarios'!$B$7:$D$7))/$D$57)</x:f>
        <x:v>784.5742141536392</x:v>
      </x:c>
      <x:c r="P44" s="18" t="str">
        <x:f>IF(MAX(M44:O44)=M44,"Liberal",IF(MAX(M44:O44)=N44,"PC","Green"))</x:f>
        <x:v>Liberal</x:v>
      </x:c>
      <x:c r="Q44" s="52" t="n">
        <x:f>B44*(('Nowcast Scenarios'!$B$8/SUM('Nowcast Scenarios'!$B$8:$D$8))/$B$57)</x:f>
        <x:v>3307.7256576175264</x:v>
      </x:c>
      <x:c r="R44" s="52" t="n">
        <x:f>C44*(('Nowcast Scenarios'!$C$8/SUM('Nowcast Scenarios'!$B$8:$D$8))/$C$57)</x:f>
        <x:v>1593.0313903742137</x:v>
      </x:c>
      <x:c r="S44" s="52" t="n">
        <x:f>D44*(('Nowcast Scenarios'!$D$8/SUM('Nowcast Scenarios'!$B$8:$D$8))/$D$57)</x:f>
        <x:v>757.3465975648005</x:v>
      </x:c>
      <x:c r="T44" s="18" t="str">
        <x:f>IF(MAX(Q44:S44)=Q44,"Liberal",IF(MAX(Q44:S44)=R44,"PC","Green"))</x:f>
        <x:v>Liberal</x:v>
      </x:c>
      <x:c r="U44" s="52" t="n">
        <x:f>B44*(('Nowcast Scenarios'!$B$9/SUM('Nowcast Scenarios'!$B$9:$D$9))/$B$57)</x:f>
        <x:v>3116.103071300292</x:v>
      </x:c>
      <x:c r="V44" s="52" t="n">
        <x:f>C44*(('Nowcast Scenarios'!$C$9/SUM('Nowcast Scenarios'!$B$9:$D$9))/$C$57)</x:f>
        <x:v>1713.8438336826337</x:v>
      </x:c>
      <x:c r="W44" s="52" t="n">
        <x:f>D44*(('Nowcast Scenarios'!$D$9/SUM('Nowcast Scenarios'!$B$9:$D$9))/$D$57)</x:f>
        <x:v>757.3465975648005</x:v>
      </x:c>
      <x:c r="X44" s="18" t="str">
        <x:f>IF(MAX(U44:W44)=U44,"Liberal",IF(MAX(U44:W44)=V44,"PC","Green"))</x:f>
        <x:v>Liberal</x:v>
      </x:c>
      <x:c r="Y44" s="52" t="n">
        <x:f>B44*(('Nowcast Scenarios'!$B$10/SUM('Nowcast Scenarios'!$B$10:$D$10))/$B$57)</x:f>
        <x:v>2538.169350967512</x:v>
      </x:c>
      <x:c r="Z44" s="52" t="n">
        <x:f>C44*(('Nowcast Scenarios'!$C$10/SUM('Nowcast Scenarios'!$B$10:$D$10))/$C$57)</x:f>
        <x:v>2078.214162700828</x:v>
      </x:c>
      <x:c r="AA44" s="52" t="n">
        <x:f>D44*(('Nowcast Scenarios'!$D$10/SUM('Nowcast Scenarios'!$B$10:$D$10))/$D$57)</x:f>
        <x:v>757.3465975648005</x:v>
      </x:c>
      <x:c r="AB44" s="18" t="str">
        <x:f>IF(MAX(Y44:AA44)=Y44,"Liberal",IF(MAX(Y44:AA44)=Z44,"PC","Green"))</x:f>
        <x:v>Liberal</x:v>
      </x:c>
      <x:c r="AC44" s="52" t="n">
        <x:f>B44*(('Nowcast Scenarios'!$B$11/SUM('Nowcast Scenarios'!$B$11:$D$11))/$B$57)</x:f>
        <x:v>2993.878395575851</x:v>
      </x:c>
      <x:c r="AD44" s="52" t="n">
        <x:f>C44*(('Nowcast Scenarios'!$C$11/SUM('Nowcast Scenarios'!$B$11:$D$11))/$C$57)</x:f>
        <x:v>1790.9029215002001</x:v>
      </x:c>
      <x:c r="AE44" s="52" t="n">
        <x:f>D44*(('Nowcast Scenarios'!$D$11/SUM('Nowcast Scenarios'!$B$11:$D$11))/$D$57)</x:f>
        <x:v>757.3465975648005</x:v>
      </x:c>
      <x:c r="AF44" s="18" t="str">
        <x:f>IF(MAX(AC44:AE44)=AC44,"Liberal",IF(MAX(AC44:AE44)=AD44,"PC","Green"))</x:f>
        <x:v>Liberal</x:v>
      </x:c>
      <x:c r="AG44" s="52" t="n">
        <x:f>B44*(('Nowcast Scenarios'!$B$12/SUM('Nowcast Scenarios'!$B$12:$D$12))/$B$57)</x:f>
        <x:v>2917.2293610489573</x:v>
      </x:c>
      <x:c r="AH44" s="52" t="n">
        <x:f>C44*(('Nowcast Scenarios'!$C$12/SUM('Nowcast Scenarios'!$B$12:$D$12))/$C$57)</x:f>
        <x:v>1839.2278988235682</x:v>
      </x:c>
      <x:c r="AI44" s="52" t="n">
        <x:f>D44*(('Nowcast Scenarios'!$D$12/SUM('Nowcast Scenarios'!$B$12:$D$12))/$D$57)</x:f>
        <x:v>757.3465975648005</x:v>
      </x:c>
      <x:c r="AJ44" s="18" t="str">
        <x:f>IF(MAX(AG44:AI44)=AG44,"Liberal",IF(MAX(AG44:AI44)=AH44,"PC","Green"))</x:f>
        <x:v>Liberal</x:v>
      </x:c>
    </x:row>
    <x:row r="45">
      <x:c r="A45" s="18" t="str">
        <x:v>Saint John Portland-Simonds</x:v>
      </x:c>
      <x:c r="B45" s="18" t="n">
        <x:v>3546</x:v>
      </x:c>
      <x:c r="C45" s="18" t="n">
        <x:v>2497</x:v>
      </x:c>
      <x:c r="D45" s="18" t="n">
        <x:v>438</x:v>
      </x:c>
      <x:c r="E45" s="52" t="n">
        <x:f>B45*(('Nowcast Scenarios'!$B$5/SUM('Nowcast Scenarios'!$B$5:$D$5))/$B$57)</x:f>
        <x:v>3228.56301857705</x:v>
      </x:c>
      <x:c r="F45" s="52" t="n">
        <x:f>C45*(('Nowcast Scenarios'!$C$5/SUM('Nowcast Scenarios'!$B$5:$D$5))/$C$57)</x:f>
        <x:v>2838.7523758990874</x:v>
      </x:c>
      <x:c r="G45" s="52" t="n">
        <x:f>D45*(('Nowcast Scenarios'!$D$5/SUM('Nowcast Scenarios'!$B$5:$D$5))/$D$57)</x:f>
        <x:v>422.801305836452</x:v>
      </x:c>
      <x:c r="H45" s="18" t="str">
        <x:f>IF(MAX(E45:G45)=E45,"Liberal",IF(MAX(E45:G45)=F45,"PC","Green"))</x:f>
        <x:v>Liberal</x:v>
      </x:c>
      <x:c r="I45" s="52" t="n">
        <x:f>B45*(('Nowcast Scenarios'!$B$6/SUM('Nowcast Scenarios'!$B$6:$D$6))/$B$57)</x:f>
        <x:v>3443.455344593005</x:v>
      </x:c>
      <x:c r="J45" s="52" t="n">
        <x:f>C45*(('Nowcast Scenarios'!$C$6/SUM('Nowcast Scenarios'!$B$6:$D$6))/$C$57)</x:f>
        <x:v>2503.674177682882</x:v>
      </x:c>
      <x:c r="K45" s="52" t="n">
        <x:f>D45*(('Nowcast Scenarios'!$D$6/SUM('Nowcast Scenarios'!$B$6:$D$6))/$D$57)</x:f>
        <x:v>479.4364940187884</x:v>
      </x:c>
      <x:c r="L45" s="18" t="str">
        <x:f>IF(MAX(I45:K45)=I45,"Liberal",IF(MAX(I45:K45)=J45,"PC","Green"))</x:f>
        <x:v>Liberal</x:v>
      </x:c>
      <x:c r="M45" s="52" t="n">
        <x:f>B45*(('Nowcast Scenarios'!$B$7/SUM('Nowcast Scenarios'!$B$7:$D$7))/$B$57)</x:f>
        <x:v>3566.435892614183</x:v>
      </x:c>
      <x:c r="N45" s="52" t="n">
        <x:f>C45*(('Nowcast Scenarios'!$C$7/SUM('Nowcast Scenarios'!$B$7:$D$7))/$C$57)</x:f>
        <x:v>2381.802207129006</x:v>
      </x:c>
      <x:c r="O45" s="52" t="n">
        <x:f>D45*(('Nowcast Scenarios'!$D$7/SUM('Nowcast Scenarios'!$B$7:$D$7))/$D$57)</x:f>
        <x:v>480.6202878311804</x:v>
      </x:c>
      <x:c r="P45" s="18" t="str">
        <x:f>IF(MAX(M45:O45)=M45,"Liberal",IF(MAX(M45:O45)=N45,"PC","Green"))</x:f>
        <x:v>Liberal</x:v>
      </x:c>
      <x:c r="Q45" s="52" t="n">
        <x:f>B45*(('Nowcast Scenarios'!$B$8/SUM('Nowcast Scenarios'!$B$8:$D$8))/$B$57)</x:f>
        <x:v>3436.623258690814</x:v>
      </x:c>
      <x:c r="R45" s="52" t="n">
        <x:f>C45*(('Nowcast Scenarios'!$C$8/SUM('Nowcast Scenarios'!$B$8:$D$8))/$C$57)</x:f>
        <x:v>2544.9772116215045</x:v>
      </x:c>
      <x:c r="S45" s="52" t="n">
        <x:f>D45*(('Nowcast Scenarios'!$D$8/SUM('Nowcast Scenarios'!$B$8:$D$8))/$D$57)</x:f>
        <x:v>463.9409926341016</x:v>
      </x:c>
      <x:c r="T45" s="18" t="str">
        <x:f>IF(MAX(Q45:S45)=Q45,"Liberal",IF(MAX(Q45:S45)=R45,"PC","Green"))</x:f>
        <x:v>Liberal</x:v>
      </x:c>
      <x:c r="U45" s="52" t="n">
        <x:f>B45*(('Nowcast Scenarios'!$B$9/SUM('Nowcast Scenarios'!$B$9:$D$9))/$B$57)</x:f>
        <x:v>3237.5333990128433</x:v>
      </x:c>
      <x:c r="V45" s="52" t="n">
        <x:f>C45*(('Nowcast Scenarios'!$C$9/SUM('Nowcast Scenarios'!$B$9:$D$9))/$C$57)</x:f>
        <x:v>2737.983399043849</x:v>
      </x:c>
      <x:c r="W45" s="52" t="n">
        <x:f>D45*(('Nowcast Scenarios'!$D$9/SUM('Nowcast Scenarios'!$B$9:$D$9))/$D$57)</x:f>
        <x:v>463.9409926341016</x:v>
      </x:c>
      <x:c r="X45" s="18" t="str">
        <x:f>IF(MAX(U45:W45)=U45,"Liberal",IF(MAX(U45:W45)=V45,"PC","Green"))</x:f>
        <x:v>Liberal</x:v>
      </x:c>
      <x:c r="Y45" s="52" t="n">
        <x:f>B45*(('Nowcast Scenarios'!$B$10/SUM('Nowcast Scenarios'!$B$10:$D$10))/$B$57)</x:f>
        <x:v>2637.0783822240837</x:v>
      </x:c>
      <x:c r="Z45" s="52" t="n">
        <x:f>C45*(('Nowcast Scenarios'!$C$10/SUM('Nowcast Scenarios'!$B$10:$D$10))/$C$57)</x:f>
        <x:v>3320.09006030964</x:v>
      </x:c>
      <x:c r="AA45" s="52" t="n">
        <x:f>D45*(('Nowcast Scenarios'!$D$10/SUM('Nowcast Scenarios'!$B$10:$D$10))/$D$57)</x:f>
        <x:v>463.9409926341016</x:v>
      </x:c>
      <x:c r="AB45" s="18" t="str">
        <x:f>IF(MAX(Y45:AA45)=Y45,"Liberal",IF(MAX(Y45:AA45)=Z45,"PC","Green"))</x:f>
        <x:v>PC</x:v>
      </x:c>
      <x:c r="AC45" s="52" t="n">
        <x:f>B45*(('Nowcast Scenarios'!$B$11/SUM('Nowcast Scenarios'!$B$11:$D$11))/$B$57)</x:f>
        <x:v>3110.5457927664715</x:v>
      </x:c>
      <x:c r="AD45" s="52" t="n">
        <x:f>C45*(('Nowcast Scenarios'!$C$11/SUM('Nowcast Scenarios'!$B$11:$D$11))/$C$57)</x:f>
        <x:v>2861.0905918016633</x:v>
      </x:c>
      <x:c r="AE45" s="52" t="n">
        <x:f>D45*(('Nowcast Scenarios'!$D$11/SUM('Nowcast Scenarios'!$B$11:$D$11))/$D$57)</x:f>
        <x:v>463.9409926341016</x:v>
      </x:c>
      <x:c r="AF45" s="18" t="str">
        <x:f>IF(MAX(AC45:AE45)=AC45,"Liberal",IF(MAX(AC45:AE45)=AD45,"PC","Green"))</x:f>
        <x:v>Liberal</x:v>
      </x:c>
      <x:c r="AG45" s="52" t="n">
        <x:f>B45*(('Nowcast Scenarios'!$B$12/SUM('Nowcast Scenarios'!$B$12:$D$12))/$B$57)</x:f>
        <x:v>3030.9098488952836</x:v>
      </x:c>
      <x:c r="AH45" s="52" t="n">
        <x:f>C45*(('Nowcast Scenarios'!$C$12/SUM('Nowcast Scenarios'!$B$12:$D$12))/$C$57)</x:f>
        <x:v>2938.2930667706014</x:v>
      </x:c>
      <x:c r="AI45" s="52" t="n">
        <x:f>D45*(('Nowcast Scenarios'!$D$12/SUM('Nowcast Scenarios'!$B$12:$D$12))/$D$57)</x:f>
        <x:v>463.9409926341016</x:v>
      </x:c>
      <x:c r="AJ45" s="18" t="str">
        <x:f>IF(MAX(AG45:AI45)=AG45,"Liberal",IF(MAX(AG45:AI45)=AH45,"PC","Green"))</x:f>
        <x:v>Liberal</x:v>
      </x:c>
    </x:row>
    <x:row r="46">
      <x:c r="A46" s="18" t="str">
        <x:v>Saint John West-Lancaster</x:v>
      </x:c>
      <x:c r="B46" s="18" t="n">
        <x:v>3525</x:v>
      </x:c>
      <x:c r="C46" s="18" t="n">
        <x:v>2787</x:v>
      </x:c>
      <x:c r="D46" s="18" t="n">
        <x:v>864</x:v>
      </x:c>
      <x:c r="E46" s="52" t="n">
        <x:f>B46*(('Nowcast Scenarios'!$B$5/SUM('Nowcast Scenarios'!$B$5:$D$5))/$B$57)</x:f>
        <x:v>3209.442933018641</x:v>
      </x:c>
      <x:c r="F46" s="52" t="n">
        <x:f>C46*(('Nowcast Scenarios'!$C$5/SUM('Nowcast Scenarios'!$B$5:$D$5))/$C$57)</x:f>
        <x:v>3168.443280589009</x:v>
      </x:c>
      <x:c r="G46" s="52" t="n">
        <x:f>D46*(('Nowcast Scenarios'!$D$5/SUM('Nowcast Scenarios'!$B$5:$D$5))/$D$57)</x:f>
        <x:v>834.0190142527272</x:v>
      </x:c>
      <x:c r="H46" s="18" t="str">
        <x:f>IF(MAX(E46:G46)=E46,"Liberal",IF(MAX(E46:G46)=F46,"PC","Green"))</x:f>
        <x:v>Liberal</x:v>
      </x:c>
      <x:c r="I46" s="52" t="n">
        <x:f>B46*(('Nowcast Scenarios'!$B$6/SUM('Nowcast Scenarios'!$B$6:$D$6))/$B$57)</x:f>
        <x:v>3423.062631046346</x:v>
      </x:c>
      <x:c r="J46" s="52" t="n">
        <x:f>C46*(('Nowcast Scenarios'!$C$6/SUM('Nowcast Scenarios'!$B$6:$D$6))/$C$57)</x:f>
        <x:v>2794.449312455824</x:v>
      </x:c>
      <x:c r="K46" s="52" t="n">
        <x:f>D46*(('Nowcast Scenarios'!$D$6/SUM('Nowcast Scenarios'!$B$6:$D$6))/$D$57)</x:f>
        <x:v>945.7377416261031</x:v>
      </x:c>
      <x:c r="L46" s="18" t="str">
        <x:f>IF(MAX(I46:K46)=I46,"Liberal",IF(MAX(I46:K46)=J46,"PC","Green"))</x:f>
        <x:v>Liberal</x:v>
      </x:c>
      <x:c r="M46" s="52" t="n">
        <x:f>B46*(('Nowcast Scenarios'!$B$7/SUM('Nowcast Scenarios'!$B$7:$D$7))/$B$57)</x:f>
        <x:v>3545.3148678694292</x:v>
      </x:c>
      <x:c r="N46" s="52" t="n">
        <x:f>C46*(('Nowcast Scenarios'!$C$7/SUM('Nowcast Scenarios'!$B$7:$D$7))/$C$57)</x:f>
        <x:v>2658.423208357445</x:v>
      </x:c>
      <x:c r="O46" s="52" t="n">
        <x:f>D46*(('Nowcast Scenarios'!$D$7/SUM('Nowcast Scenarios'!$B$7:$D$7))/$D$57)</x:f>
        <x:v>948.0728965436983</x:v>
      </x:c>
      <x:c r="P46" s="18" t="str">
        <x:f>IF(MAX(M46:O46)=M46,"Liberal",IF(MAX(M46:O46)=N46,"PC","Green"))</x:f>
        <x:v>Liberal</x:v>
      </x:c>
      <x:c r="Q46" s="52" t="n">
        <x:f>B46*(('Nowcast Scenarios'!$B$8/SUM('Nowcast Scenarios'!$B$8:$D$8))/$B$57)</x:f>
        <x:v>3416.2710058897687</x:v>
      </x:c>
      <x:c r="R46" s="52" t="n">
        <x:f>C46*(('Nowcast Scenarios'!$C$8/SUM('Nowcast Scenarios'!$B$8:$D$8))/$C$57)</x:f>
        <x:v>2840.5492546211985</x:v>
      </x:c>
      <x:c r="S46" s="52" t="n">
        <x:f>D46*(('Nowcast Scenarios'!$D$8/SUM('Nowcast Scenarios'!$B$8:$D$8))/$D$57)</x:f>
        <x:v>915.1712731412414</x:v>
      </x:c>
      <x:c r="T46" s="18" t="str">
        <x:f>IF(MAX(Q46:S46)=Q46,"Liberal",IF(MAX(Q46:S46)=R46,"PC","Green"))</x:f>
        <x:v>Liberal</x:v>
      </x:c>
      <x:c r="U46" s="52" t="n">
        <x:f>B46*(('Nowcast Scenarios'!$B$9/SUM('Nowcast Scenarios'!$B$9:$D$9))/$B$57)</x:f>
        <x:v>3218.3601893740197</x:v>
      </x:c>
      <x:c r="V46" s="52" t="n">
        <x:f>C46*(('Nowcast Scenarios'!$C$9/SUM('Nowcast Scenarios'!$B$9:$D$9))/$C$57)</x:f>
        <x:v>3055.9710585243124</x:v>
      </x:c>
      <x:c r="W46" s="52" t="n">
        <x:f>D46*(('Nowcast Scenarios'!$D$9/SUM('Nowcast Scenarios'!$B$9:$D$9))/$D$57)</x:f>
        <x:v>915.1712731412414</x:v>
      </x:c>
      <x:c r="X46" s="18" t="str">
        <x:f>IF(MAX(U46:W46)=U46,"Liberal",IF(MAX(U46:W46)=V46,"PC","Green"))</x:f>
        <x:v>Liberal</x:v>
      </x:c>
      <x:c r="Y46" s="52" t="n">
        <x:f>B46*(('Nowcast Scenarios'!$B$10/SUM('Nowcast Scenarios'!$B$10:$D$10))/$B$57)</x:f>
        <x:v>2621.46116676252</x:v>
      </x:c>
      <x:c r="Z46" s="52" t="n">
        <x:f>C46*(('Nowcast Scenarios'!$C$10/SUM('Nowcast Scenarios'!$B$10:$D$10))/$C$57)</x:f>
        <x:v>3705.683219096102</x:v>
      </x:c>
      <x:c r="AA46" s="52" t="n">
        <x:f>D46*(('Nowcast Scenarios'!$D$10/SUM('Nowcast Scenarios'!$B$10:$D$10))/$D$57)</x:f>
        <x:v>915.1712731412414</x:v>
      </x:c>
      <x:c r="AB46" s="18" t="str">
        <x:f>IF(MAX(Y46:AA46)=Y46,"Liberal",IF(MAX(Y46:AA46)=Z46,"PC","Green"))</x:f>
        <x:v>PC</x:v>
      </x:c>
      <x:c r="AC46" s="52" t="n">
        <x:f>B46*(('Nowcast Scenarios'!$B$11/SUM('Nowcast Scenarios'!$B$11:$D$11))/$B$57)</x:f>
        <x:v>3092.1246247890053</x:v>
      </x:c>
      <x:c r="AD46" s="52" t="n">
        <x:f>C46*(('Nowcast Scenarios'!$C$11/SUM('Nowcast Scenarios'!$B$11:$D$11))/$C$57)</x:f>
        <x:v>3193.3758427517964</x:v>
      </x:c>
      <x:c r="AE46" s="52" t="n">
        <x:f>D46*(('Nowcast Scenarios'!$D$11/SUM('Nowcast Scenarios'!$B$11:$D$11))/$D$57)</x:f>
        <x:v>915.1712731412414</x:v>
      </x:c>
      <x:c r="AF46" s="18" t="str">
        <x:f>IF(MAX(AC46:AE46)=AC46,"Liberal",IF(MAX(AC46:AE46)=AD46,"PC","Green"))</x:f>
        <x:v>PC</x:v>
      </x:c>
      <x:c r="AG46" s="52" t="n">
        <x:f>B46*(('Nowcast Scenarios'!$B$12/SUM('Nowcast Scenarios'!$B$12:$D$12))/$B$57)</x:f>
        <x:v>3012.9602981827056</x:v>
      </x:c>
      <x:c r="AH46" s="52" t="n">
        <x:f>C46*(('Nowcast Scenarios'!$C$12/SUM('Nowcast Scenarios'!$B$12:$D$12))/$C$57)</x:f>
        <x:v>3279.5445643130424</x:v>
      </x:c>
      <x:c r="AI46" s="52" t="n">
        <x:f>D46*(('Nowcast Scenarios'!$D$12/SUM('Nowcast Scenarios'!$B$12:$D$12))/$D$57)</x:f>
        <x:v>915.1712731412414</x:v>
      </x:c>
      <x:c r="AJ46" s="18" t="str">
        <x:f>IF(MAX(AG46:AI46)=AG46,"Liberal",IF(MAX(AG46:AI46)=AH46,"PC","Green"))</x:f>
        <x:v>PC</x:v>
      </x:c>
    </x:row>
    <x:row r="47">
      <x:c r="A47" s="18" t="str">
        <x:v>Shediac Bay-Dieppe</x:v>
      </x:c>
      <x:c r="B47" s="18" t="n">
        <x:v>6530</x:v>
      </x:c>
      <x:c r="C47" s="18" t="n">
        <x:v>1803</x:v>
      </x:c>
      <x:c r="D47" s="18" t="n">
        <x:v>1254</x:v>
      </x:c>
      <x:c r="E47" s="52" t="n">
        <x:f>B47*(('Nowcast Scenarios'!$B$5/SUM('Nowcast Scenarios'!$B$5:$D$5))/$B$57)</x:f>
        <x:v>5945.43612840049</x:v>
      </x:c>
      <x:c r="F47" s="52" t="n">
        <x:f>C47*(('Nowcast Scenarios'!$C$5/SUM('Nowcast Scenarios'!$B$5:$D$5))/$C$57)</x:f>
        <x:v>2049.767935020446</x:v>
      </x:c>
      <x:c r="G47" s="52" t="n">
        <x:f>D47*(('Nowcast Scenarios'!$D$5/SUM('Nowcast Scenarios'!$B$5:$D$5))/$D$57)</x:f>
        <x:v>1210.485930408472</x:v>
      </x:c>
      <x:c r="H47" s="18" t="str">
        <x:f>IF(MAX(E47:G47)=E47,"Liberal",IF(MAX(E47:G47)=F47,"PC","Green"))</x:f>
        <x:v>Liberal</x:v>
      </x:c>
      <x:c r="I47" s="52" t="n">
        <x:f>B47*(('Nowcast Scenarios'!$B$6/SUM('Nowcast Scenarios'!$B$6:$D$6))/$B$57)</x:f>
        <x:v>6341.162831413514</x:v>
      </x:c>
      <x:c r="J47" s="52" t="n">
        <x:f>C47*(('Nowcast Scenarios'!$C$6/SUM('Nowcast Scenarios'!$B$6:$D$6))/$C$57)</x:f>
        <x:v>1807.8191999848764</x:v>
      </x:c>
      <x:c r="K47" s="52" t="n">
        <x:f>D47*(('Nowcast Scenarios'!$D$6/SUM('Nowcast Scenarios'!$B$6:$D$6))/$D$57)</x:f>
        <x:v>1372.633249998997</x:v>
      </x:c>
      <x:c r="L47" s="18" t="str">
        <x:f>IF(MAX(I47:K47)=I47,"Liberal",IF(MAX(I47:K47)=J47,"PC","Green"))</x:f>
        <x:v>Liberal</x:v>
      </x:c>
      <x:c r="M47" s="52" t="n">
        <x:f>B47*(('Nowcast Scenarios'!$B$7/SUM('Nowcast Scenarios'!$B$7:$D$7))/$B$57)</x:f>
        <x:v>6567.6329325354245</x:v>
      </x:c>
      <x:c r="N47" s="52" t="n">
        <x:f>C47*(('Nowcast Scenarios'!$C$7/SUM('Nowcast Scenarios'!$B$7:$D$7))/$C$57)</x:f>
        <x:v>1719.8195352237078</x:v>
      </x:c>
      <x:c r="O47" s="52" t="n">
        <x:f>D47*(('Nowcast Scenarios'!$D$7/SUM('Nowcast Scenarios'!$B$7:$D$7))/$D$57)</x:f>
        <x:v>1376.0224679002288</x:v>
      </x:c>
      <x:c r="P47" s="18" t="str">
        <x:f>IF(MAX(M47:O47)=M47,"Liberal",IF(MAX(M47:O47)=N47,"PC","Green"))</x:f>
        <x:v>Liberal</x:v>
      </x:c>
      <x:c r="Q47" s="52" t="n">
        <x:f>B47*(('Nowcast Scenarios'!$B$8/SUM('Nowcast Scenarios'!$B$8:$D$8))/$B$57)</x:f>
        <x:v>6328.581466229842</x:v>
      </x:c>
      <x:c r="R47" s="52" t="n">
        <x:f>C47*(('Nowcast Scenarios'!$C$8/SUM('Nowcast Scenarios'!$B$8:$D$8))/$C$57)</x:f>
        <x:v>1837.642736304995</x:v>
      </x:c>
      <x:c r="S47" s="52" t="n">
        <x:f>D47*(('Nowcast Scenarios'!$D$8/SUM('Nowcast Scenarios'!$B$8:$D$8))/$D$57)</x:f>
        <x:v>1328.2694172674962</x:v>
      </x:c>
      <x:c r="T47" s="18" t="str">
        <x:f>IF(MAX(Q47:S47)=Q47,"Liberal",IF(MAX(Q47:S47)=R47,"PC","Green"))</x:f>
        <x:v>Liberal</x:v>
      </x:c>
      <x:c r="U47" s="52" t="n">
        <x:f>B47*(('Nowcast Scenarios'!$B$9/SUM('Nowcast Scenarios'!$B$9:$D$9))/$B$57)</x:f>
        <x:v>5961.955187691447</x:v>
      </x:c>
      <x:c r="V47" s="52" t="n">
        <x:f>C47*(('Nowcast Scenarios'!$C$9/SUM('Nowcast Scenarios'!$B$9:$D$9))/$C$57)</x:f>
        <x:v>1977.0060346319826</x:v>
      </x:c>
      <x:c r="W47" s="52" t="n">
        <x:f>D47*(('Nowcast Scenarios'!$D$9/SUM('Nowcast Scenarios'!$B$9:$D$9))/$D$57)</x:f>
        <x:v>1328.2694172674962</x:v>
      </x:c>
      <x:c r="X47" s="18" t="str">
        <x:f>IF(MAX(U47:W47)=U47,"Liberal",IF(MAX(U47:W47)=V47,"PC","Green"))</x:f>
        <x:v>Liberal</x:v>
      </x:c>
      <x:c r="Y47" s="52" t="n">
        <x:f>B47*(('Nowcast Scenarios'!$B$10/SUM('Nowcast Scenarios'!$B$10:$D$10))/$B$57)</x:f>
        <x:v>4856.210331619647</x:v>
      </x:c>
      <x:c r="Z47" s="52" t="n">
        <x:f>C47*(('Nowcast Scenarios'!$C$10/SUM('Nowcast Scenarios'!$B$10:$D$10))/$C$57)</x:f>
        <x:v>2397.325742386176</x:v>
      </x:c>
      <x:c r="AA47" s="52" t="n">
        <x:f>D47*(('Nowcast Scenarios'!$D$10/SUM('Nowcast Scenarios'!$B$10:$D$10))/$D$57)</x:f>
        <x:v>1328.2694172674962</x:v>
      </x:c>
      <x:c r="AB47" s="18" t="str">
        <x:f>IF(MAX(Y47:AA47)=Y47,"Liberal",IF(MAX(Y47:AA47)=Z47,"PC","Green"))</x:f>
        <x:v>Liberal</x:v>
      </x:c>
      <x:c r="AC47" s="52" t="n">
        <x:f>B47*(('Nowcast Scenarios'!$B$11/SUM('Nowcast Scenarios'!$B$11:$D$11))/$B$57)</x:f>
        <x:v>5728.106042516937</x:v>
      </x:c>
      <x:c r="AD47" s="52" t="n">
        <x:f>C47*(('Nowcast Scenarios'!$C$11/SUM('Nowcast Scenarios'!$B$11:$D$11))/$C$57)</x:f>
        <x:v>2065.89761194169</x:v>
      </x:c>
      <x:c r="AE47" s="52" t="n">
        <x:f>D47*(('Nowcast Scenarios'!$D$11/SUM('Nowcast Scenarios'!$B$11:$D$11))/$D$57)</x:f>
        <x:v>1328.2694172674962</x:v>
      </x:c>
      <x:c r="AF47" s="18" t="str">
        <x:f>IF(MAX(AC47:AE47)=AC47,"Liberal",IF(MAX(AC47:AE47)=AD47,"PC","Green"))</x:f>
        <x:v>Liberal</x:v>
      </x:c>
      <x:c r="AG47" s="52" t="n">
        <x:f>B47*(('Nowcast Scenarios'!$B$12/SUM('Nowcast Scenarios'!$B$12:$D$12))/$B$57)</x:f>
        <x:v>5581.45553110158</x:v>
      </x:c>
      <x:c r="AH47" s="52" t="n">
        <x:f>C47*(('Nowcast Scenarios'!$C$12/SUM('Nowcast Scenarios'!$B$12:$D$12))/$C$57)</x:f>
        <x:v>2121.642931272485</x:v>
      </x:c>
      <x:c r="AI47" s="52" t="n">
        <x:f>D47*(('Nowcast Scenarios'!$D$12/SUM('Nowcast Scenarios'!$B$12:$D$12))/$D$57)</x:f>
        <x:v>1328.2694172674962</x:v>
      </x:c>
      <x:c r="AJ47" s="18" t="str">
        <x:f>IF(MAX(AG47:AI47)=AG47,"Liberal",IF(MAX(AG47:AI47)=AH47,"PC","Green"))</x:f>
        <x:v>Liberal</x:v>
      </x:c>
    </x:row>
    <x:row r="48">
      <x:c r="A48" s="18" t="str">
        <x:v>Shediac-Cap-Acadie</x:v>
      </x:c>
      <x:c r="B48" s="18" t="n">
        <x:v>5438</x:v>
      </x:c>
      <x:c r="C48" s="18" t="n">
        <x:v>1322</x:v>
      </x:c>
      <x:c r="D48" s="18" t="n">
        <x:v>2901</x:v>
      </x:c>
      <x:c r="E48" s="52" t="n">
        <x:f>B48*(('Nowcast Scenarios'!$B$5/SUM('Nowcast Scenarios'!$B$5:$D$5))/$B$57)</x:f>
        <x:v>4951.191679363225</x:v>
      </x:c>
      <x:c r="F48" s="52" t="n">
        <x:f>C48*(('Nowcast Scenarios'!$C$5/SUM('Nowcast Scenarios'!$B$5:$D$5))/$C$57)</x:f>
        <x:v>1502.93577931061</x:v>
      </x:c>
      <x:c r="G48" s="52" t="n">
        <x:f>D48*(('Nowcast Scenarios'!$D$5/SUM('Nowcast Scenarios'!$B$5:$D$5))/$D$57)</x:f>
        <x:v>2800.334676327733</x:v>
      </x:c>
      <x:c r="H48" s="18" t="str">
        <x:f>IF(MAX(E48:G48)=E48,"Liberal",IF(MAX(E48:G48)=F48,"PC","Green"))</x:f>
        <x:v>Liberal</x:v>
      </x:c>
      <x:c r="I48" s="52" t="n">
        <x:f>B48*(('Nowcast Scenarios'!$B$6/SUM('Nowcast Scenarios'!$B$6:$D$6))/$B$57)</x:f>
        <x:v>5280.741726987242</x:v>
      </x:c>
      <x:c r="J48" s="52" t="n">
        <x:f>C48*(('Nowcast Scenarios'!$C$6/SUM('Nowcast Scenarios'!$B$6:$D$6))/$C$57)</x:f>
        <x:v>1325.533545413204</x:v>
      </x:c>
      <x:c r="K48" s="52" t="n">
        <x:f>D48*(('Nowcast Scenarios'!$D$6/SUM('Nowcast Scenarios'!$B$6:$D$6))/$D$57)</x:f>
        <x:v>3175.445819973756</x:v>
      </x:c>
      <x:c r="L48" s="18" t="str">
        <x:f>IF(MAX(I48:K48)=I48,"Liberal",IF(MAX(I48:K48)=J48,"PC","Green"))</x:f>
        <x:v>Liberal</x:v>
      </x:c>
      <x:c r="M48" s="52" t="n">
        <x:f>B48*(('Nowcast Scenarios'!$B$7/SUM('Nowcast Scenarios'!$B$7:$D$7))/$B$57)</x:f>
        <x:v>5469.339645808214</x:v>
      </x:c>
      <x:c r="N48" s="52" t="n">
        <x:f>C48*(('Nowcast Scenarios'!$C$7/SUM('Nowcast Scenarios'!$B$7:$D$7))/$C$57)</x:f>
        <x:v>1261.0102193930902</x:v>
      </x:c>
      <x:c r="O48" s="52" t="n">
        <x:f>D48*(('Nowcast Scenarios'!$D$7/SUM('Nowcast Scenarios'!$B$7:$D$7))/$D$57)</x:f>
        <x:v>3183.2864269366537</x:v>
      </x:c>
      <x:c r="P48" s="18" t="str">
        <x:f>IF(MAX(M48:O48)=M48,"Liberal",IF(MAX(M48:O48)=N48,"PC","Green"))</x:f>
        <x:v>Liberal</x:v>
      </x:c>
      <x:c r="Q48" s="52" t="n">
        <x:f>B48*(('Nowcast Scenarios'!$B$8/SUM('Nowcast Scenarios'!$B$8:$D$8))/$B$57)</x:f>
        <x:v>5270.264320575478</x:v>
      </x:c>
      <x:c r="R48" s="52" t="n">
        <x:f>C48*(('Nowcast Scenarios'!$C$8/SUM('Nowcast Scenarios'!$B$8:$D$8))/$C$57)</x:f>
        <x:v>1347.400830502054</x:v>
      </x:c>
      <x:c r="S48" s="52" t="n">
        <x:f>D48*(('Nowcast Scenarios'!$D$8/SUM('Nowcast Scenarios'!$B$8:$D$8))/$D$57)</x:f>
        <x:v>3072.8146566929877</x:v>
      </x:c>
      <x:c r="T48" s="18" t="str">
        <x:f>IF(MAX(Q48:S48)=Q48,"Liberal",IF(MAX(Q48:S48)=R48,"PC","Green"))</x:f>
        <x:v>Liberal</x:v>
      </x:c>
      <x:c r="U48" s="52" t="n">
        <x:f>B48*(('Nowcast Scenarios'!$B$9/SUM('Nowcast Scenarios'!$B$9:$D$9))/$B$57)</x:f>
        <x:v>4964.9482864726015</x:v>
      </x:c>
      <x:c r="V48" s="52" t="n">
        <x:f>C48*(('Nowcast Scenarios'!$C$9/SUM('Nowcast Scenarios'!$B$9:$D$9))/$C$57)</x:f>
        <x:v>1449.5851235626628</x:v>
      </x:c>
      <x:c r="W48" s="52" t="n">
        <x:f>D48*(('Nowcast Scenarios'!$D$9/SUM('Nowcast Scenarios'!$B$9:$D$9))/$D$57)</x:f>
        <x:v>3072.8146566929877</x:v>
      </x:c>
      <x:c r="X48" s="18" t="str">
        <x:f>IF(MAX(U48:W48)=U48,"Liberal",IF(MAX(U48:W48)=V48,"PC","Green"))</x:f>
        <x:v>Liberal</x:v>
      </x:c>
      <x:c r="Y48" s="52" t="n">
        <x:f>B48*(('Nowcast Scenarios'!$B$10/SUM('Nowcast Scenarios'!$B$10:$D$10))/$B$57)</x:f>
        <x:v>4044.1151276183214</x:v>
      </x:c>
      <x:c r="Z48" s="52" t="n">
        <x:f>C48*(('Nowcast Scenarios'!$C$10/SUM('Nowcast Scenarios'!$B$10:$D$10))/$C$57)</x:f>
        <x:v>1757.7729514334578</x:v>
      </x:c>
      <x:c r="AA48" s="52" t="n">
        <x:f>D48*(('Nowcast Scenarios'!$D$10/SUM('Nowcast Scenarios'!$B$10:$D$10))/$D$57)</x:f>
        <x:v>3072.8146566929877</x:v>
      </x:c>
      <x:c r="AB48" s="18" t="str">
        <x:f>IF(MAX(Y48:AA48)=Y48,"Liberal",IF(MAX(Y48:AA48)=Z48,"PC","Green"))</x:f>
        <x:v>Liberal</x:v>
      </x:c>
      <x:c r="AC48" s="52" t="n">
        <x:f>B48*(('Nowcast Scenarios'!$B$11/SUM('Nowcast Scenarios'!$B$11:$D$11))/$B$57)</x:f>
        <x:v>4770.205307688684</x:v>
      </x:c>
      <x:c r="AD48" s="52" t="n">
        <x:f>C48*(('Nowcast Scenarios'!$C$11/SUM('Nowcast Scenarios'!$B$11:$D$11))/$C$57)</x:f>
        <x:v>1514.7624198485378</x:v>
      </x:c>
      <x:c r="AE48" s="52" t="n">
        <x:f>D48*(('Nowcast Scenarios'!$D$11/SUM('Nowcast Scenarios'!$B$11:$D$11))/$D$57)</x:f>
        <x:v>3072.8146566929877</x:v>
      </x:c>
      <x:c r="AF48" s="18" t="str">
        <x:f>IF(MAX(AC48:AE48)=AC48,"Liberal",IF(MAX(AC48:AE48)=AD48,"PC","Green"))</x:f>
        <x:v>Liberal</x:v>
      </x:c>
      <x:c r="AG48" s="52" t="n">
        <x:f>B48*(('Nowcast Scenarios'!$B$12/SUM('Nowcast Scenarios'!$B$12:$D$12))/$B$57)</x:f>
        <x:v>4648.078894047533</x:v>
      </x:c>
      <x:c r="AH48" s="52" t="n">
        <x:f>C48*(('Nowcast Scenarios'!$C$12/SUM('Nowcast Scenarios'!$B$12:$D$12))/$C$57)</x:f>
        <x:v>1555.6361370727814</x:v>
      </x:c>
      <x:c r="AI48" s="52" t="n">
        <x:f>D48*(('Nowcast Scenarios'!$D$12/SUM('Nowcast Scenarios'!$B$12:$D$12))/$D$57)</x:f>
        <x:v>3072.8146566929877</x:v>
      </x:c>
      <x:c r="AJ48" s="18" t="str">
        <x:f>IF(MAX(AG48:AI48)=AG48,"Liberal",IF(MAX(AG48:AI48)=AH48,"PC","Green"))</x:f>
        <x:v>Liberal</x:v>
      </x:c>
    </x:row>
    <x:row r="49">
      <x:c r="A49" s="18" t="str">
        <x:v>Shippagan-Les-Îles</x:v>
      </x:c>
      <x:c r="B49" s="18" t="n">
        <x:v>5021</x:v>
      </x:c>
      <x:c r="C49" s="18" t="n">
        <x:v>530</x:v>
      </x:c>
      <x:c r="D49" s="18" t="n">
        <x:v>1111</x:v>
      </x:c>
      <x:c r="E49" s="52" t="n">
        <x:f>B49*(('Nowcast Scenarios'!$B$5/SUM('Nowcast Scenarios'!$B$5:$D$5))/$B$57)</x:f>
        <x:v>4571.521408989105</x:v>
      </x:c>
      <x:c r="F49" s="52" t="n">
        <x:f>C49*(('Nowcast Scenarios'!$C$5/SUM('Nowcast Scenarios'!$B$5:$D$5))/$C$57)</x:f>
        <x:v>602.5385499505471</x:v>
      </x:c>
      <x:c r="G49" s="52" t="n">
        <x:f>D49*(('Nowcast Scenarios'!$D$5/SUM('Nowcast Scenarios'!$B$5:$D$5))/$D$57)</x:f>
        <x:v>1072.4480611513657</x:v>
      </x:c>
      <x:c r="H49" s="18" t="str">
        <x:f>IF(MAX(E49:G49)=E49,"Liberal",IF(MAX(E49:G49)=F49,"PC","Green"))</x:f>
        <x:v>Liberal</x:v>
      </x:c>
      <x:c r="I49" s="52" t="n">
        <x:f>B49*(('Nowcast Scenarios'!$B$6/SUM('Nowcast Scenarios'!$B$6:$D$6))/$B$57)</x:f>
        <x:v>4875.80070084644</x:v>
      </x:c>
      <x:c r="J49" s="52" t="n">
        <x:f>C49*(('Nowcast Scenarios'!$C$6/SUM('Nowcast Scenarios'!$B$6:$D$6))/$C$57)</x:f>
        <x:v>531.4166256195144</x:v>
      </x:c>
      <x:c r="K49" s="52" t="n">
        <x:f>D49*(('Nowcast Scenarios'!$D$6/SUM('Nowcast Scenarios'!$B$6:$D$6))/$D$57)</x:f>
        <x:v>1216.104896928936</x:v>
      </x:c>
      <x:c r="L49" s="18" t="str">
        <x:f>IF(MAX(I49:K49)=I49,"Liberal",IF(MAX(I49:K49)=J49,"PC","Green"))</x:f>
        <x:v>Liberal</x:v>
      </x:c>
      <x:c r="M49" s="52" t="n">
        <x:f>B49*(('Nowcast Scenarios'!$B$7/SUM('Nowcast Scenarios'!$B$7:$D$7))/$B$57)</x:f>
        <x:v>5049.936440162384</x:v>
      </x:c>
      <x:c r="N49" s="52" t="n">
        <x:f>C49*(('Nowcast Scenarios'!$C$7/SUM('Nowcast Scenarios'!$B$7:$D$7))/$C$57)</x:f>
        <x:v>505.54872638300895</x:v>
      </x:c>
      <x:c r="O49" s="52" t="n">
        <x:f>D49*(('Nowcast Scenarios'!$D$7/SUM('Nowcast Scenarios'!$B$7:$D$7))/$D$57)</x:f>
        <x:v>1219.107625069501</x:v>
      </x:c>
      <x:c r="P49" s="18" t="str">
        <x:f>IF(MAX(M49:O49)=M49,"Liberal",IF(MAX(M49:O49)=N49,"PC","Green"))</x:f>
        <x:v>Liberal</x:v>
      </x:c>
      <x:c r="Q49" s="52" t="n">
        <x:f>B49*(('Nowcast Scenarios'!$B$8/SUM('Nowcast Scenarios'!$B$8:$D$8))/$B$57)</x:f>
        <x:v>4866.126729240434</x:v>
      </x:c>
      <x:c r="R49" s="52" t="n">
        <x:f>C49*(('Nowcast Scenarios'!$C$8/SUM('Nowcast Scenarios'!$B$8:$D$8))/$C$57)</x:f>
        <x:v>540.1833889304755</x:v>
      </x:c>
      <x:c r="S49" s="52" t="n">
        <x:f>D49*(('Nowcast Scenarios'!$D$8/SUM('Nowcast Scenarios'!$B$8:$D$8))/$D$57)</x:f>
        <x:v>1176.8000977545362</x:v>
      </x:c>
      <x:c r="T49" s="18" t="str">
        <x:f>IF(MAX(Q49:S49)=Q49,"Liberal",IF(MAX(Q49:S49)=R49,"PC","Green"))</x:f>
        <x:v>Liberal</x:v>
      </x:c>
      <x:c r="U49" s="52" t="n">
        <x:f>B49*(('Nowcast Scenarios'!$B$9/SUM('Nowcast Scenarios'!$B$9:$D$9))/$B$57)</x:f>
        <x:v>4584.223123644526</x:v>
      </x:c>
      <x:c r="V49" s="52" t="n">
        <x:f>C49*(('Nowcast Scenarios'!$C$9/SUM('Nowcast Scenarios'!$B$9:$D$9))/$C$57)</x:f>
        <x:v>581.1498604298118</x:v>
      </x:c>
      <x:c r="W49" s="52" t="n">
        <x:f>D49*(('Nowcast Scenarios'!$D$9/SUM('Nowcast Scenarios'!$B$9:$D$9))/$D$57)</x:f>
        <x:v>1176.8000977545362</x:v>
      </x:c>
      <x:c r="X49" s="18" t="str">
        <x:f>IF(MAX(U49:W49)=U49,"Liberal",IF(MAX(U49:W49)=V49,"PC","Green"))</x:f>
        <x:v>Liberal</x:v>
      </x:c>
      <x:c r="Y49" s="52" t="n">
        <x:f>B49*(('Nowcast Scenarios'!$B$10/SUM('Nowcast Scenarios'!$B$10:$D$10))/$B$57)</x:f>
        <x:v>3734.001849167266</x:v>
      </x:c>
      <x:c r="Z49" s="52" t="n">
        <x:f>C49*(('Nowcast Scenarios'!$C$10/SUM('Nowcast Scenarios'!$B$10:$D$10))/$C$57)</x:f>
        <x:v>704.70473847181</x:v>
      </x:c>
      <x:c r="AA49" s="52" t="n">
        <x:f>D49*(('Nowcast Scenarios'!$D$10/SUM('Nowcast Scenarios'!$B$10:$D$10))/$D$57)</x:f>
        <x:v>1176.8000977545362</x:v>
      </x:c>
      <x:c r="AB49" s="18" t="str">
        <x:f>IF(MAX(Y49:AA49)=Y49,"Liberal",IF(MAX(Y49:AA49)=Z49,"PC","Green"))</x:f>
        <x:v>Liberal</x:v>
      </x:c>
      <x:c r="AC49" s="52" t="n">
        <x:f>B49*(('Nowcast Scenarios'!$B$11/SUM('Nowcast Scenarios'!$B$11:$D$11))/$B$57)</x:f>
        <x:v>4404.413543564708</x:v>
      </x:c>
      <x:c r="AD49" s="52" t="n">
        <x:f>C49*(('Nowcast Scenarios'!$C$11/SUM('Nowcast Scenarios'!$B$11:$D$11))/$C$57)</x:f>
        <x:v>607.2799413916226</x:v>
      </x:c>
      <x:c r="AE49" s="52" t="n">
        <x:f>D49*(('Nowcast Scenarios'!$D$11/SUM('Nowcast Scenarios'!$B$11:$D$11))/$D$57)</x:f>
        <x:v>1176.8000977545362</x:v>
      </x:c>
      <x:c r="AF49" s="18" t="str">
        <x:f>IF(MAX(AC49:AE49)=AC49,"Liberal",IF(MAX(AC49:AE49)=AD49,"PC","Green"))</x:f>
        <x:v>Liberal</x:v>
      </x:c>
      <x:c r="AG49" s="52" t="n">
        <x:f>B49*(('Nowcast Scenarios'!$B$12/SUM('Nowcast Scenarios'!$B$12:$D$12))/$B$57)</x:f>
        <x:v>4291.652101326345</x:v>
      </x:c>
      <x:c r="AH49" s="52" t="n">
        <x:f>C49*(('Nowcast Scenarios'!$C$12/SUM('Nowcast Scenarios'!$B$12:$D$12))/$C$57)</x:f>
        <x:v>623.6665299913572</x:v>
      </x:c>
      <x:c r="AI49" s="52" t="n">
        <x:f>D49*(('Nowcast Scenarios'!$D$12/SUM('Nowcast Scenarios'!$B$12:$D$12))/$D$57)</x:f>
        <x:v>1176.8000977545362</x:v>
      </x:c>
      <x:c r="AJ49" s="18" t="str">
        <x:f>IF(MAX(AG49:AI49)=AG49,"Liberal",IF(MAX(AG49:AI49)=AH49,"PC","Green"))</x:f>
        <x:v>Liberal</x:v>
      </x:c>
    </x:row>
    <x:row r="50">
      <x:c r="A50" s="18" t="str">
        <x:v>Sussex-Three Rivers</x:v>
      </x:c>
      <x:c r="B50" s="18" t="n">
        <x:v>3282</x:v>
      </x:c>
      <x:c r="C50" s="18" t="n">
        <x:v>3789</x:v>
      </x:c>
      <x:c r="D50" s="18" t="n">
        <x:v>1235</x:v>
      </x:c>
      <x:c r="E50" s="52" t="n">
        <x:f>B50*(('Nowcast Scenarios'!$B$5/SUM('Nowcast Scenarios'!$B$5:$D$5))/$B$57)</x:f>
        <x:v>2988.196228699909</x:v>
      </x:c>
      <x:c r="F50" s="52" t="n">
        <x:f>C50*(('Nowcast Scenarios'!$C$5/SUM('Nowcast Scenarios'!$B$5:$D$5))/$C$57)</x:f>
        <x:v>4307.582199552119</x:v>
      </x:c>
      <x:c r="G50" s="52" t="n">
        <x:f>D50*(('Nowcast Scenarios'!$D$5/SUM('Nowcast Scenarios'!$B$5:$D$5))/$D$57)</x:f>
        <x:v>1192.1452344931922</x:v>
      </x:c>
      <x:c r="H50" s="18" t="str">
        <x:f>IF(MAX(E50:G50)=E50,"Liberal",IF(MAX(E50:G50)=F50,"PC","Green"))</x:f>
        <x:v>PC</x:v>
      </x:c>
      <x:c r="I50" s="52" t="n">
        <x:f>B50*(('Nowcast Scenarios'!$B$6/SUM('Nowcast Scenarios'!$B$6:$D$6))/$B$57)</x:f>
        <x:v>3187.0898028635766</x:v>
      </x:c>
      <x:c r="J50" s="52" t="n">
        <x:f>C50*(('Nowcast Scenarios'!$C$6/SUM('Nowcast Scenarios'!$B$6:$D$6))/$C$57)</x:f>
        <x:v>3799.1275367402645</x:v>
      </x:c>
      <x:c r="K50" s="52" t="n">
        <x:f>D50*(('Nowcast Scenarios'!$D$6/SUM('Nowcast Scenarios'!$B$6:$D$6))/$D$57)</x:f>
        <x:v>1351.8357765141636</x:v>
      </x:c>
      <x:c r="L50" s="18" t="str">
        <x:f>IF(MAX(I50:K50)=I50,"Liberal",IF(MAX(I50:K50)=J50,"PC","Green"))</x:f>
        <x:v>PC</x:v>
      </x:c>
      <x:c r="M50" s="52" t="n">
        <x:f>B50*(('Nowcast Scenarios'!$B$7/SUM('Nowcast Scenarios'!$B$7:$D$7))/$B$57)</x:f>
        <x:v>3300.914438680132</x:v>
      </x:c>
      <x:c r="N50" s="52" t="n">
        <x:f>C50*(('Nowcast Scenarios'!$C$7/SUM('Nowcast Scenarios'!$B$7:$D$7))/$C$57)</x:f>
        <x:v>3614.1964608777753</x:v>
      </x:c>
      <x:c r="O50" s="52" t="n">
        <x:f>D50*(('Nowcast Scenarios'!$D$7/SUM('Nowcast Scenarios'!$B$7:$D$7))/$D$57)</x:f>
        <x:v>1355.1736426290133</x:v>
      </x:c>
      <x:c r="P50" s="18" t="str">
        <x:f>IF(MAX(M50:O50)=M50,"Liberal",IF(MAX(M50:O50)=N50,"PC","Green"))</x:f>
        <x:v>PC</x:v>
      </x:c>
      <x:c r="Q50" s="52" t="n">
        <x:f>B50*(('Nowcast Scenarios'!$B$8/SUM('Nowcast Scenarios'!$B$8:$D$8))/$B$57)</x:f>
        <x:v>3180.7663663348144</x:v>
      </x:c>
      <x:c r="R50" s="52" t="n">
        <x:f>C50*(('Nowcast Scenarios'!$C$8/SUM('Nowcast Scenarios'!$B$8:$D$8))/$C$57)</x:f>
        <x:v>3861.801623882211</x:v>
      </x:c>
      <x:c r="S50" s="52" t="n">
        <x:f>D50*(('Nowcast Scenarios'!$D$8/SUM('Nowcast Scenarios'!$B$8:$D$8))/$D$57)</x:f>
        <x:v>1308.1441230664736</x:v>
      </x:c>
      <x:c r="T50" s="18" t="str">
        <x:f>IF(MAX(Q50:S50)=Q50,"Liberal",IF(MAX(Q50:S50)=R50,"PC","Green"))</x:f>
        <x:v>PC</x:v>
      </x:c>
      <x:c r="U50" s="52" t="n">
        <x:f>B50*(('Nowcast Scenarios'!$B$9/SUM('Nowcast Scenarios'!$B$9:$D$9))/$B$57)</x:f>
        <x:v>2996.4987635533425</x:v>
      </x:c>
      <x:c r="V50" s="52" t="n">
        <x:f>C50*(('Nowcast Scenarios'!$C$9/SUM('Nowcast Scenarios'!$B$9:$D$9))/$C$57)</x:f>
        <x:v>4154.673247487844</x:v>
      </x:c>
      <x:c r="W50" s="52" t="n">
        <x:f>D50*(('Nowcast Scenarios'!$D$9/SUM('Nowcast Scenarios'!$B$9:$D$9))/$D$57)</x:f>
        <x:v>1308.1441230664736</x:v>
      </x:c>
      <x:c r="X50" s="18" t="str">
        <x:f>IF(MAX(U50:W50)=U50,"Liberal",IF(MAX(U50:W50)=V50,"PC","Green"))</x:f>
        <x:v>PC</x:v>
      </x:c>
      <x:c r="Y50" s="52" t="n">
        <x:f>B50*(('Nowcast Scenarios'!$B$10/SUM('Nowcast Scenarios'!$B$10:$D$10))/$B$57)</x:f>
        <x:v>2440.7476735644227</x:v>
      </x:c>
      <x:c r="Z50" s="52" t="n">
        <x:f>C50*(('Nowcast Scenarios'!$C$10/SUM('Nowcast Scenarios'!$B$10:$D$10))/$C$57)</x:f>
        <x:v>5037.97406428243</x:v>
      </x:c>
      <x:c r="AA50" s="52" t="n">
        <x:f>D50*(('Nowcast Scenarios'!$D$10/SUM('Nowcast Scenarios'!$B$10:$D$10))/$D$57)</x:f>
        <x:v>1308.1441230664736</x:v>
      </x:c>
      <x:c r="AB50" s="18" t="str">
        <x:f>IF(MAX(Y50:AA50)=Y50,"Liberal",IF(MAX(Y50:AA50)=Z50,"PC","Green"))</x:f>
        <x:v>PC</x:v>
      </x:c>
      <x:c r="AC50" s="52" t="n">
        <x:f>B50*(('Nowcast Scenarios'!$B$11/SUM('Nowcast Scenarios'!$B$11:$D$11))/$B$57)</x:f>
        <x:v>2878.9653953354655</x:v>
      </x:c>
      <x:c r="AD50" s="52" t="n">
        <x:f>C50*(('Nowcast Scenarios'!$C$11/SUM('Nowcast Scenarios'!$B$11:$D$11))/$C$57)</x:f>
        <x:v>4341.478675345015</x:v>
      </x:c>
      <x:c r="AE50" s="52" t="n">
        <x:f>D50*(('Nowcast Scenarios'!$D$11/SUM('Nowcast Scenarios'!$B$11:$D$11))/$D$57)</x:f>
        <x:v>1308.1441230664736</x:v>
      </x:c>
      <x:c r="AF50" s="18" t="str">
        <x:f>IF(MAX(AC50:AE50)=AC50,"Liberal",IF(MAX(AC50:AE50)=AD50,"PC","Green"))</x:f>
        <x:v>PC</x:v>
      </x:c>
      <x:c r="AG50" s="52" t="n">
        <x:f>B50*(('Nowcast Scenarios'!$B$12/SUM('Nowcast Scenarios'!$B$12:$D$12))/$B$57)</x:f>
        <x:v>2805.2583542228767</x:v>
      </x:c>
      <x:c r="AH50" s="52" t="n">
        <x:f>C50*(('Nowcast Scenarios'!$C$12/SUM('Nowcast Scenarios'!$B$12:$D$12))/$C$57)</x:f>
        <x:v>4458.627324787269</x:v>
      </x:c>
      <x:c r="AI50" s="52" t="n">
        <x:f>D50*(('Nowcast Scenarios'!$D$12/SUM('Nowcast Scenarios'!$B$12:$D$12))/$D$57)</x:f>
        <x:v>1308.1441230664736</x:v>
      </x:c>
      <x:c r="AJ50" s="18" t="str">
        <x:f>IF(MAX(AG50:AI50)=AG50,"Liberal",IF(MAX(AG50:AI50)=AH50,"PC","Green"))</x:f>
        <x:v>PC</x:v>
      </x:c>
    </x:row>
    <x:row r="51">
      <x:c r="A51" s="18" t="str">
        <x:v>Tantramar</x:v>
      </x:c>
      <x:c r="B51" s="18" t="n">
        <x:v>1276</x:v>
      </x:c>
      <x:c r="C51" s="18" t="n">
        <x:v>1166</x:v>
      </x:c>
      <x:c r="D51" s="18" t="n">
        <x:v>2468</x:v>
      </x:c>
      <x:c r="E51" s="52" t="n">
        <x:f>B51*(('Nowcast Scenarios'!$B$5/SUM('Nowcast Scenarios'!$B$5:$D$5))/$B$57)</x:f>
        <x:v>1161.7728177395138</x:v>
      </x:c>
      <x:c r="F51" s="52" t="n">
        <x:f>C51*(('Nowcast Scenarios'!$C$5/SUM('Nowcast Scenarios'!$B$5:$D$5))/$C$57)</x:f>
        <x:v>1325.5848098912038</x:v>
      </x:c>
      <x:c r="G51" s="52" t="n">
        <x:f>D51*(('Nowcast Scenarios'!$D$5/SUM('Nowcast Scenarios'!$B$5:$D$5))/$D$57)</x:f>
        <x:v>2382.359869416355</x:v>
      </x:c>
      <x:c r="H51" s="18" t="str">
        <x:f>IF(MAX(E51:G51)=E51,"Liberal",IF(MAX(E51:G51)=F51,"PC","Green"))</x:f>
        <x:v>Green</x:v>
      </x:c>
      <x:c r="I51" s="52" t="n">
        <x:f>B51*(('Nowcast Scenarios'!$B$6/SUM('Nowcast Scenarios'!$B$6:$D$6))/$B$57)</x:f>
        <x:v>1239.1001183589042</x:v>
      </x:c>
      <x:c r="J51" s="52" t="n">
        <x:f>C51*(('Nowcast Scenarios'!$C$6/SUM('Nowcast Scenarios'!$B$6:$D$6))/$C$57)</x:f>
        <x:v>1169.1165763629317</x:v>
      </x:c>
      <x:c r="K51" s="52" t="n">
        <x:f>D51*(('Nowcast Scenarios'!$D$6/SUM('Nowcast Scenarios'!$B$6:$D$6))/$D$57)</x:f>
        <x:v>2701.4823452930814</x:v>
      </x:c>
      <x:c r="L51" s="18" t="str">
        <x:f>IF(MAX(I51:K51)=I51,"Liberal",IF(MAX(I51:K51)=J51,"PC","Green"))</x:f>
        <x:v>Green</x:v>
      </x:c>
      <x:c r="M51" s="52" t="n">
        <x:f>B51*(('Nowcast Scenarios'!$B$7/SUM('Nowcast Scenarios'!$B$7:$D$7))/$B$57)</x:f>
        <x:v>1283.353694014579</x:v>
      </x:c>
      <x:c r="N51" s="52" t="n">
        <x:f>C51*(('Nowcast Scenarios'!$C$7/SUM('Nowcast Scenarios'!$B$7:$D$7))/$C$57)</x:f>
        <x:v>1112.2071980426197</x:v>
      </x:c>
      <x:c r="O51" s="52" t="n">
        <x:f>D51*(('Nowcast Scenarios'!$D$7/SUM('Nowcast Scenarios'!$B$7:$D$7))/$D$57)</x:f>
        <x:v>2708.152672071583</x:v>
      </x:c>
      <x:c r="P51" s="18" t="str">
        <x:f>IF(MAX(M51:O51)=M51,"Liberal",IF(MAX(M51:O51)=N51,"PC","Green"))</x:f>
        <x:v>Green</x:v>
      </x:c>
      <x:c r="Q51" s="52" t="n">
        <x:f>B51*(('Nowcast Scenarios'!$B$8/SUM('Nowcast Scenarios'!$B$8:$D$8))/$B$57)</x:f>
        <x:v>1236.641646387332</x:v>
      </x:c>
      <x:c r="R51" s="52" t="n">
        <x:f>C51*(('Nowcast Scenarios'!$C$8/SUM('Nowcast Scenarios'!$B$8:$D$8))/$C$57)</x:f>
        <x:v>1188.4034556470463</x:v>
      </x:c>
      <x:c r="S51" s="52" t="n">
        <x:f>D51*(('Nowcast Scenarios'!$D$8/SUM('Nowcast Scenarios'!$B$8:$D$8))/$D$57)</x:f>
        <x:v>2614.169794111787</x:v>
      </x:c>
      <x:c r="T51" s="18" t="str">
        <x:f>IF(MAX(Q51:S51)=Q51,"Liberal",IF(MAX(Q51:S51)=R51,"PC","Green"))</x:f>
        <x:v>Green</x:v>
      </x:c>
      <x:c r="U51" s="52" t="n">
        <x:f>B51*(('Nowcast Scenarios'!$B$9/SUM('Nowcast Scenarios'!$B$9:$D$9))/$B$57)</x:f>
        <x:v>1165.000738054255</x:v>
      </x:c>
      <x:c r="V51" s="52" t="n">
        <x:f>C51*(('Nowcast Scenarios'!$C$9/SUM('Nowcast Scenarios'!$B$9:$D$9))/$C$57)</x:f>
        <x:v>1278.529692945586</x:v>
      </x:c>
      <x:c r="W51" s="52" t="n">
        <x:f>D51*(('Nowcast Scenarios'!$D$9/SUM('Nowcast Scenarios'!$B$9:$D$9))/$D$57)</x:f>
        <x:v>2614.169794111787</x:v>
      </x:c>
      <x:c r="X51" s="18" t="str">
        <x:f>IF(MAX(U51:W51)=U51,"Liberal",IF(MAX(U51:W51)=V51,"PC","Green"))</x:f>
        <x:v>Green</x:v>
      </x:c>
      <x:c r="Y51" s="52" t="n">
        <x:f>B51*(('Nowcast Scenarios'!$B$10/SUM('Nowcast Scenarios'!$B$10:$D$10))/$B$57)</x:f>
        <x:v>948.9317585216951</x:v>
      </x:c>
      <x:c r="Z51" s="52" t="n">
        <x:f>C51*(('Nowcast Scenarios'!$C$10/SUM('Nowcast Scenarios'!$B$10:$D$10))/$C$57)</x:f>
        <x:v>1550.3504246379819</x:v>
      </x:c>
      <x:c r="AA51" s="52" t="n">
        <x:f>D51*(('Nowcast Scenarios'!$D$10/SUM('Nowcast Scenarios'!$B$10:$D$10))/$D$57)</x:f>
        <x:v>2614.169794111787</x:v>
      </x:c>
      <x:c r="AB51" s="18" t="str">
        <x:f>IF(MAX(Y51:AA51)=Y51,"Liberal",IF(MAX(Y51:AA51)=Z51,"PC","Green"))</x:f>
        <x:v>Green</x:v>
      </x:c>
      <x:c r="AC51" s="52" t="n">
        <x:f>B51*(('Nowcast Scenarios'!$B$11/SUM('Nowcast Scenarios'!$B$11:$D$11))/$B$57)</x:f>
        <x:v>1119.305254249864</x:v>
      </x:c>
      <x:c r="AD51" s="52" t="n">
        <x:f>C51*(('Nowcast Scenarios'!$C$11/SUM('Nowcast Scenarios'!$B$11:$D$11))/$C$57)</x:f>
        <x:v>1336.0158710615697</x:v>
      </x:c>
      <x:c r="AE51" s="52" t="n">
        <x:f>D51*(('Nowcast Scenarios'!$D$11/SUM('Nowcast Scenarios'!$B$11:$D$11))/$D$57)</x:f>
        <x:v>2614.169794111787</x:v>
      </x:c>
      <x:c r="AF51" s="18" t="str">
        <x:f>IF(MAX(AC51:AE51)=AC51,"Liberal",IF(MAX(AC51:AE51)=AD51,"PC","Green"))</x:f>
        <x:v>Green</x:v>
      </x:c>
      <x:c r="AG51" s="52" t="n">
        <x:f>B51*(('Nowcast Scenarios'!$B$12/SUM('Nowcast Scenarios'!$B$12:$D$12))/$B$57)</x:f>
        <x:v>1090.6488909166333</x:v>
      </x:c>
      <x:c r="AH51" s="52" t="n">
        <x:f>C51*(('Nowcast Scenarios'!$C$12/SUM('Nowcast Scenarios'!$B$12:$D$12))/$C$57)</x:f>
        <x:v>1372.0663659809857</x:v>
      </x:c>
      <x:c r="AI51" s="52" t="n">
        <x:f>D51*(('Nowcast Scenarios'!$D$12/SUM('Nowcast Scenarios'!$B$12:$D$12))/$D$57)</x:f>
        <x:v>2614.169794111787</x:v>
      </x:c>
      <x:c r="AJ51" s="18" t="str">
        <x:f>IF(MAX(AG51:AI51)=AG51,"Liberal",IF(MAX(AG51:AI51)=AH51,"PC","Green"))</x:f>
        <x:v>Green</x:v>
      </x:c>
    </x:row>
    <x:row r="52">
      <x:c r="A52" s="18" t="str">
        <x:v>Tracadie</x:v>
      </x:c>
      <x:c r="B52" s="18" t="n">
        <x:v>5030</x:v>
      </x:c>
      <x:c r="C52" s="18" t="n">
        <x:v>537</x:v>
      </x:c>
      <x:c r="D52" s="18" t="n">
        <x:v>3829</x:v>
      </x:c>
      <x:c r="E52" s="52" t="n">
        <x:f>B52*(('Nowcast Scenarios'!$B$5/SUM('Nowcast Scenarios'!$B$5:$D$5))/$B$57)</x:f>
        <x:v>4579.7157313712805</x:v>
      </x:c>
      <x:c r="F52" s="52" t="n">
        <x:f>C52*(('Nowcast Scenarios'!$C$5/SUM('Nowcast Scenarios'!$B$5:$D$5))/$C$57)</x:f>
        <x:v>610.4966062706487</x:v>
      </x:c>
      <x:c r="G52" s="52" t="n">
        <x:f>D52*(('Nowcast Scenarios'!$D$5/SUM('Nowcast Scenarios'!$B$5:$D$5))/$D$57)</x:f>
        <x:v>3696.1328768214034</x:v>
      </x:c>
      <x:c r="H52" s="18" t="str">
        <x:f>IF(MAX(E52:G52)=E52,"Liberal",IF(MAX(E52:G52)=F52,"PC","Green"))</x:f>
        <x:v>Liberal</x:v>
      </x:c>
      <x:c r="I52" s="52" t="n">
        <x:f>B52*(('Nowcast Scenarios'!$B$6/SUM('Nowcast Scenarios'!$B$6:$D$6))/$B$57)</x:f>
        <x:v>4884.54043522358</x:v>
      </x:c>
      <x:c r="J52" s="52" t="n">
        <x:f>C52*(('Nowcast Scenarios'!$C$6/SUM('Nowcast Scenarios'!$B$6:$D$6))/$C$57)</x:f>
        <x:v>538.4353357692062</x:v>
      </x:c>
      <x:c r="K52" s="52" t="n">
        <x:f>D52*(('Nowcast Scenarios'!$D$6/SUM('Nowcast Scenarios'!$B$6:$D$6))/$D$57)</x:f>
        <x:v>4191.238209127719</x:v>
      </x:c>
      <x:c r="L52" s="18" t="str">
        <x:f>IF(MAX(I52:K52)=I52,"Liberal",IF(MAX(I52:K52)=J52,"PC","Green"))</x:f>
        <x:v>Liberal</x:v>
      </x:c>
      <x:c r="M52" s="52" t="n">
        <x:f>B52*(('Nowcast Scenarios'!$B$7/SUM('Nowcast Scenarios'!$B$7:$D$7))/$B$57)</x:f>
        <x:v>5058.9883079101355</x:v>
      </x:c>
      <x:c r="N52" s="52" t="n">
        <x:f>C52*(('Nowcast Scenarios'!$C$7/SUM('Nowcast Scenarios'!$B$7:$D$7))/$C$57)</x:f>
        <x:v>512.2257850333506</x:v>
      </x:c>
      <x:c r="O52" s="52" t="n">
        <x:f>D52*(('Nowcast Scenarios'!$D$7/SUM('Nowcast Scenarios'!$B$7:$D$7))/$D$57)</x:f>
        <x:v>4201.586945446552</x:v>
      </x:c>
      <x:c r="P52" s="18" t="str">
        <x:f>IF(MAX(M52:O52)=M52,"Liberal",IF(MAX(M52:O52)=N52,"PC","Green"))</x:f>
        <x:v>Liberal</x:v>
      </x:c>
      <x:c r="Q52" s="52" t="n">
        <x:f>B52*(('Nowcast Scenarios'!$B$8/SUM('Nowcast Scenarios'!$B$8:$D$8))/$B$57)</x:f>
        <x:v>4874.849123298025</x:v>
      </x:c>
      <x:c r="R52" s="52" t="n">
        <x:f>C52*(('Nowcast Scenarios'!$C$8/SUM('Nowcast Scenarios'!$B$8:$D$8))/$C$57)</x:f>
        <x:v>547.3178865201234</x:v>
      </x:c>
      <x:c r="S52" s="52" t="n">
        <x:f>D52*(('Nowcast Scenarios'!$D$8/SUM('Nowcast Scenarios'!$B$8:$D$8))/$D$57)</x:f>
        <x:v>4055.776394511358</x:v>
      </x:c>
      <x:c r="T52" s="18" t="str">
        <x:f>IF(MAX(Q52:S52)=Q52,"Liberal",IF(MAX(Q52:S52)=R52,"PC","Green"))</x:f>
        <x:v>Liberal</x:v>
      </x:c>
      <x:c r="U52" s="52" t="n">
        <x:f>B52*(('Nowcast Scenarios'!$B$9/SUM('Nowcast Scenarios'!$B$9:$D$9))/$B$57)</x:f>
        <x:v>4592.4402134897355</x:v>
      </x:c>
      <x:c r="V52" s="52" t="n">
        <x:f>C52*(('Nowcast Scenarios'!$C$9/SUM('Nowcast Scenarios'!$B$9:$D$9))/$C$57)</x:f>
        <x:v>588.8254246241678</x:v>
      </x:c>
      <x:c r="W52" s="52" t="n">
        <x:f>D52*(('Nowcast Scenarios'!$D$9/SUM('Nowcast Scenarios'!$B$9:$D$9))/$D$57)</x:f>
        <x:v>4055.776394511358</x:v>
      </x:c>
      <x:c r="X52" s="18" t="str">
        <x:f>IF(MAX(U52:W52)=U52,"Liberal",IF(MAX(U52:W52)=V52,"PC","Green"))</x:f>
        <x:v>Liberal</x:v>
      </x:c>
      <x:c r="Y52" s="52" t="n">
        <x:f>B52*(('Nowcast Scenarios'!$B$10/SUM('Nowcast Scenarios'!$B$10:$D$10))/$B$57)</x:f>
        <x:v>3740.694941507936</x:v>
      </x:c>
      <x:c r="Z52" s="52" t="n">
        <x:f>C52*(('Nowcast Scenarios'!$C$10/SUM('Nowcast Scenarios'!$B$10:$D$10))/$C$57)</x:f>
        <x:v>714.0121595459659</x:v>
      </x:c>
      <x:c r="AA52" s="52" t="n">
        <x:f>D52*(('Nowcast Scenarios'!$D$10/SUM('Nowcast Scenarios'!$B$10:$D$10))/$D$57)</x:f>
        <x:v>4055.776394511358</x:v>
      </x:c>
      <x:c r="AB52" s="18" t="str">
        <x:f>IF(MAX(Y52:AA52)=Y52,"Liberal",IF(MAX(Y52:AA52)=Z52,"PC","Green"))</x:f>
        <x:v>Green</x:v>
      </x:c>
      <x:c r="AC52" s="52" t="n">
        <x:f>B52*(('Nowcast Scenarios'!$B$11/SUM('Nowcast Scenarios'!$B$11:$D$11))/$B$57)</x:f>
        <x:v>4412.308329840765</x:v>
      </x:c>
      <x:c r="AD52" s="52" t="n">
        <x:f>C52*(('Nowcast Scenarios'!$C$11/SUM('Nowcast Scenarios'!$B$11:$D$11))/$C$57)</x:f>
        <x:v>615.3006198628327</x:v>
      </x:c>
      <x:c r="AE52" s="52" t="n">
        <x:f>D52*(('Nowcast Scenarios'!$D$11/SUM('Nowcast Scenarios'!$B$11:$D$11))/$D$57)</x:f>
        <x:v>4055.776394511358</x:v>
      </x:c>
      <x:c r="AF52" s="18" t="str">
        <x:f>IF(MAX(AC52:AE52)=AC52,"Liberal",IF(MAX(AC52:AE52)=AD52,"PC","Green"))</x:f>
        <x:v>Liberal</x:v>
      </x:c>
      <x:c r="AG52" s="52" t="n">
        <x:f>B52*(('Nowcast Scenarios'!$B$12/SUM('Nowcast Scenarios'!$B$12:$D$12))/$B$57)</x:f>
        <x:v>4299.34476591745</x:v>
      </x:c>
      <x:c r="AH52" s="52" t="n">
        <x:f>C52*(('Nowcast Scenarios'!$C$12/SUM('Nowcast Scenarios'!$B$12:$D$12))/$C$57)</x:f>
        <x:v>631.9036351044506</x:v>
      </x:c>
      <x:c r="AI52" s="52" t="n">
        <x:f>D52*(('Nowcast Scenarios'!$D$12/SUM('Nowcast Scenarios'!$B$12:$D$12))/$D$57)</x:f>
        <x:v>4055.776394511358</x:v>
      </x:c>
      <x:c r="AJ52" s="18" t="str">
        <x:f>IF(MAX(AG52:AI52)=AG52,"Liberal",IF(MAX(AG52:AI52)=AH52,"PC","Green"))</x:f>
        <x:v>Liberal</x:v>
      </x:c>
    </x:row>
    <x:row r="53">
      <x:c r="A53" s="19" t="str">
        <x:v>Woodstock-Hartland</x:v>
      </x:c>
      <x:c r="B53" s="19" t="n">
        <x:v>2549</x:v>
      </x:c>
      <x:c r="C53" s="19" t="n">
        <x:v>4199</x:v>
      </x:c>
      <x:c r="D53" s="19" t="n">
        <x:v>276</x:v>
      </x:c>
      <x:c r="E53" s="53" t="n">
        <x:f>B53*(('Nowcast Scenarios'!$B$5/SUM('Nowcast Scenarios'!$B$5:$D$5))/$B$57)</x:f>
        <x:v>2320.814194684969</x:v>
      </x:c>
      <x:c r="F53" s="53" t="n">
        <x:f>C53*(('Nowcast Scenarios'!$C$5/SUM('Nowcast Scenarios'!$B$5:$D$5))/$C$57)</x:f>
        <x:v>4773.696926872353</x:v>
      </x:c>
      <x:c r="G53" s="53" t="n">
        <x:f>D53*(('Nowcast Scenarios'!$D$5/SUM('Nowcast Scenarios'!$B$5:$D$5))/$D$57)</x:f>
        <x:v>266.42274066406566</x:v>
      </x:c>
      <x:c r="H53" s="19" t="str">
        <x:f>IF(MAX(E53:G53)=E53,"Liberal",IF(MAX(E53:G53)=F53,"PC","Green"))</x:f>
        <x:v>PC</x:v>
      </x:c>
      <x:c r="I53" s="53" t="n">
        <x:f>B53*(('Nowcast Scenarios'!$B$6/SUM('Nowcast Scenarios'!$B$6:$D$6))/$B$57)</x:f>
        <x:v>2475.2869919254285</x:v>
      </x:c>
      <x:c r="J53" s="53" t="n">
        <x:f>C53*(('Nowcast Scenarios'!$C$6/SUM('Nowcast Scenarios'!$B$6:$D$6))/$C$57)</x:f>
        <x:v>4210.223416936493</x:v>
      </x:c>
      <x:c r="K53" s="53" t="n">
        <x:f>D53*(('Nowcast Scenarios'!$D$6/SUM('Nowcast Scenarios'!$B$6:$D$6))/$D$57)</x:f>
        <x:v>302.11066746389406</x:v>
      </x:c>
      <x:c r="L53" s="19" t="str">
        <x:f>IF(MAX(I53:K53)=I53,"Liberal",IF(MAX(I53:K53)=J53,"PC","Green"))</x:f>
        <x:v>PC</x:v>
      </x:c>
      <x:c r="M53" s="53" t="n">
        <x:f>B53*(('Nowcast Scenarios'!$B$7/SUM('Nowcast Scenarios'!$B$7:$D$7))/$B$57)</x:f>
        <x:v>2563.6900987799077</x:v>
      </x:c>
      <x:c r="N53" s="53" t="n">
        <x:f>C53*(('Nowcast Scenarios'!$C$7/SUM('Nowcast Scenarios'!$B$7:$D$7))/$C$57)</x:f>
        <x:v>4005.281324683499</x:v>
      </x:c>
      <x:c r="O53" s="53" t="n">
        <x:f>D53*(('Nowcast Scenarios'!$D$7/SUM('Nowcast Scenarios'!$B$7:$D$7))/$D$57)</x:f>
        <x:v>302.85661972923697</x:v>
      </x:c>
      <x:c r="P53" s="19" t="str">
        <x:f>IF(MAX(M53:O53)=M53,"Liberal",IF(MAX(M53:O53)=N53,"PC","Green"))</x:f>
        <x:v>PC</x:v>
      </x:c>
      <x:c r="Q53" s="53" t="n">
        <x:f>B53*(('Nowcast Scenarios'!$B$8/SUM('Nowcast Scenarios'!$B$8:$D$8))/$B$57)</x:f>
        <x:v>2470.3758280888</x:v>
      </x:c>
      <x:c r="R53" s="53" t="n">
        <x:f>C53*(('Nowcast Scenarios'!$C$8/SUM('Nowcast Scenarios'!$B$8:$D$8))/$C$57)</x:f>
        <x:v>4279.6793398472955</x:v>
      </x:c>
      <x:c r="S53" s="53" t="n">
        <x:f>D53*(('Nowcast Scenarios'!$D$8/SUM('Nowcast Scenarios'!$B$8:$D$8))/$D$57)</x:f>
        <x:v>292.3463789201188</x:v>
      </x:c>
      <x:c r="T53" s="19" t="str">
        <x:f>IF(MAX(Q53:S53)=Q53,"Liberal",IF(MAX(Q53:S53)=R53,"PC","Green"))</x:f>
        <x:v>PC</x:v>
      </x:c>
      <x:c r="U53" s="53" t="n">
        <x:f>B53*(('Nowcast Scenarios'!$B$9/SUM('Nowcast Scenarios'!$B$9:$D$9))/$B$57)</x:f>
        <x:v>2327.2624461601067</x:v>
      </x:c>
      <x:c r="V53" s="53" t="n">
        <x:f>C53*(('Nowcast Scenarios'!$C$9/SUM('Nowcast Scenarios'!$B$9:$D$9))/$C$57)</x:f>
        <x:v>4604.242007442981</x:v>
      </x:c>
      <x:c r="W53" s="53" t="n">
        <x:f>D53*(('Nowcast Scenarios'!$D$9/SUM('Nowcast Scenarios'!$B$9:$D$9))/$D$57)</x:f>
        <x:v>292.3463789201188</x:v>
      </x:c>
      <x:c r="X53" s="19" t="str">
        <x:f>IF(MAX(U53:W53)=U53,"Liberal",IF(MAX(U53:W53)=V53,"PC","Green"))</x:f>
        <x:v>PC</x:v>
      </x:c>
      <x:c r="Y53" s="53" t="n">
        <x:f>B53*(('Nowcast Scenarios'!$B$10/SUM('Nowcast Scenarios'!$B$10:$D$10))/$B$57)</x:f>
        <x:v>1895.6324862631668</x:v>
      </x:c>
      <x:c r="Z53" s="53" t="n">
        <x:f>C53*(('Nowcast Scenarios'!$C$10/SUM('Nowcast Scenarios'!$B$10:$D$10))/$C$57)</x:f>
        <x:v>5583.123012911566</x:v>
      </x:c>
      <x:c r="AA53" s="53" t="n">
        <x:f>D53*(('Nowcast Scenarios'!$D$10/SUM('Nowcast Scenarios'!$B$10:$D$10))/$D$57)</x:f>
        <x:v>292.3463789201188</x:v>
      </x:c>
      <x:c r="AB53" s="19" t="str">
        <x:f>IF(MAX(Y53:AA53)=Y53,"Liberal",IF(MAX(Y53:AA53)=Z53,"PC","Green"))</x:f>
        <x:v>PC</x:v>
      </x:c>
      <x:c r="AC53" s="53" t="n">
        <x:f>B53*(('Nowcast Scenarios'!$B$11/SUM('Nowcast Scenarios'!$B$11:$D$11))/$B$57)</x:f>
        <x:v>2235.9789130743757</x:v>
      </x:c>
      <x:c r="AD53" s="53" t="n">
        <x:f>C53*(('Nowcast Scenarios'!$C$11/SUM('Nowcast Scenarios'!$B$11:$D$11))/$C$57)</x:f>
        <x:v>4811.261271515893</x:v>
      </x:c>
      <x:c r="AE53" s="53" t="n">
        <x:f>D53*(('Nowcast Scenarios'!$D$11/SUM('Nowcast Scenarios'!$B$11:$D$11))/$D$57)</x:f>
        <x:v>292.3463789201188</x:v>
      </x:c>
      <x:c r="AF53" s="19" t="str">
        <x:f>IF(MAX(AC53:AE53)=AC53,"Liberal",IF(MAX(AC53:AE53)=AD53,"PC","Green"))</x:f>
        <x:v>PC</x:v>
      </x:c>
      <x:c r="AG53" s="53" t="n">
        <x:f>B53*(('Nowcast Scenarios'!$B$12/SUM('Nowcast Scenarios'!$B$12:$D$12))/$B$57)</x:f>
        <x:v>2178.7335603028987</x:v>
      </x:c>
      <x:c r="AH53" s="53" t="n">
        <x:f>C53*(('Nowcast Scenarios'!$C$12/SUM('Nowcast Scenarios'!$B$12:$D$12))/$C$57)</x:f>
        <x:v>4941.086338554167</x:v>
      </x:c>
      <x:c r="AI53" s="53" t="n">
        <x:f>D53*(('Nowcast Scenarios'!$D$12/SUM('Nowcast Scenarios'!$B$12:$D$12))/$D$57)</x:f>
        <x:v>292.3463789201188</x:v>
      </x:c>
      <x:c r="AJ53" s="19" t="str">
        <x:f>IF(MAX(AG53:AI53)=AG53,"Liberal",IF(MAX(AG53:AI53)=AH53,"PC","Green"))</x:f>
        <x:v>PC</x:v>
      </x:c>
    </x:row>
    <x:row r="54">
      <x:c r="A54" s="162"/>
      <x:c r="B54" s="162"/>
      <x:c r="C54" s="162"/>
      <x:c r="D54" s="162"/>
      <x:c r="E54" s="162"/>
      <x:c r="F54" s="162"/>
      <x:c r="G54" s="162"/>
      <x:c r="H54" s="162"/>
      <x:c r="I54" s="162"/>
      <x:c r="J54" s="162"/>
      <x:c r="K54" s="162"/>
      <x:c r="L54" s="162"/>
      <x:c r="M54" s="162"/>
      <x:c r="N54" s="162"/>
      <x:c r="O54" s="162"/>
      <x:c r="P54" s="162"/>
      <x:c r="Q54" s="162"/>
      <x:c r="R54" s="162"/>
      <x:c r="S54" s="162"/>
      <x:c r="T54" s="162"/>
      <x:c r="U54" s="162"/>
      <x:c r="V54" s="162"/>
      <x:c r="W54" s="162"/>
      <x:c r="X54" s="162"/>
      <x:c r="Y54" s="162"/>
      <x:c r="Z54" s="162"/>
      <x:c r="AA54" s="162"/>
      <x:c r="AB54" s="162"/>
      <x:c r="AC54" s="162"/>
      <x:c r="AD54" s="162"/>
      <x:c r="AE54" s="162"/>
      <x:c r="AF54" s="162"/>
      <x:c r="AG54" s="162"/>
      <x:c r="AH54" s="162"/>
      <x:c r="AI54" s="162"/>
      <x:c r="AJ54" s="162"/>
    </x:row>
    <x:row r="55">
      <x:c r="A55" s="162"/>
      <x:c r="B55" s="162"/>
      <x:c r="C55" s="162"/>
      <x:c r="D55" s="162"/>
      <x:c r="E55" s="162"/>
      <x:c r="F55" s="162"/>
      <x:c r="G55" s="162"/>
      <x:c r="H55" s="162"/>
      <x:c r="I55" s="162"/>
      <x:c r="J55" s="162"/>
      <x:c r="K55" s="162"/>
      <x:c r="L55" s="162"/>
      <x:c r="M55" s="162"/>
      <x:c r="N55" s="162"/>
      <x:c r="O55" s="162"/>
      <x:c r="P55" s="162"/>
      <x:c r="Q55" s="162"/>
      <x:c r="R55" s="162"/>
      <x:c r="S55" s="162"/>
      <x:c r="T55" s="162"/>
      <x:c r="U55" s="162"/>
      <x:c r="V55" s="162"/>
      <x:c r="W55" s="162"/>
      <x:c r="X55" s="162"/>
      <x:c r="Y55" s="162"/>
      <x:c r="Z55" s="162"/>
      <x:c r="AA55" s="162"/>
      <x:c r="AB55" s="162"/>
      <x:c r="AC55" s="162"/>
      <x:c r="AD55" s="162"/>
      <x:c r="AE55" s="162"/>
      <x:c r="AF55" s="162"/>
      <x:c r="AG55" s="162"/>
      <x:c r="AH55" s="162"/>
      <x:c r="AI55" s="162"/>
      <x:c r="AJ55" s="162"/>
    </x:row>
    <x:row r="56">
      <x:c r="A56" s="163" t="str">
        <x:v>Province-wide base</x:v>
      </x:c>
      <x:c r="B56" s="164" t="str">
        <x:v>Liberal</x:v>
      </x:c>
      <x:c r="C56" s="164" t="str">
        <x:v>PC</x:v>
      </x:c>
      <x:c r="D56" s="165" t="str">
        <x:v>Green</x:v>
      </x:c>
      <x:c r="E56" s="162"/>
      <x:c r="F56" s="162"/>
      <x:c r="G56" s="162"/>
      <x:c r="H56" s="162"/>
      <x:c r="I56" s="162"/>
      <x:c r="J56" s="162"/>
      <x:c r="K56" s="162"/>
      <x:c r="L56" s="162"/>
      <x:c r="M56" s="162"/>
      <x:c r="N56" s="162"/>
      <x:c r="O56" s="162"/>
      <x:c r="P56" s="162"/>
      <x:c r="Q56" s="162"/>
      <x:c r="R56" s="162"/>
      <x:c r="S56" s="162"/>
      <x:c r="T56" s="162"/>
      <x:c r="U56" s="162"/>
      <x:c r="V56" s="162"/>
      <x:c r="W56" s="162"/>
      <x:c r="X56" s="162"/>
      <x:c r="Y56" s="162"/>
      <x:c r="Z56" s="162"/>
      <x:c r="AA56" s="162"/>
      <x:c r="AB56" s="162"/>
      <x:c r="AC56" s="162"/>
      <x:c r="AD56" s="162"/>
      <x:c r="AE56" s="162"/>
      <x:c r="AF56" s="162"/>
      <x:c r="AG56" s="162"/>
      <x:c r="AH56" s="162"/>
      <x:c r="AI56" s="162"/>
      <x:c r="AJ56" s="162"/>
    </x:row>
    <x:row r="57">
      <x:c r="A57" s="162" t="str">
        <x:v>Three-party share</x:v>
      </x:c>
      <x:c r="B57" s="190" t="n">
        <x:f>SUM(B5:B53)/SUM(B5:D53)</x:f>
        <x:v>0.49713496986494216</x:v>
      </x:c>
      <x:c r="C57" s="190" t="n">
        <x:f>SUM(C5:C53)/SUM(B5:D53)</x:f>
        <x:v>0.36110377898024726</x:v>
      </x:c>
      <x:c r="D57" s="190" t="n">
        <x:f>SUM(D5:D53)/SUM(B5:D53)</x:f>
        <x:v>0.1417612511548106</x:v>
      </x:c>
      <x:c r="E57" s="162"/>
      <x:c r="F57" s="162"/>
      <x:c r="G57" s="162"/>
      <x:c r="H57" s="162"/>
      <x:c r="I57" s="162"/>
      <x:c r="J57" s="162"/>
      <x:c r="K57" s="162"/>
      <x:c r="L57" s="162"/>
      <x:c r="M57" s="162"/>
      <x:c r="N57" s="162"/>
      <x:c r="O57" s="162"/>
      <x:c r="P57" s="162"/>
      <x:c r="Q57" s="162"/>
      <x:c r="R57" s="162"/>
      <x:c r="S57" s="162"/>
      <x:c r="T57" s="162"/>
      <x:c r="U57" s="162"/>
      <x:c r="V57" s="162"/>
      <x:c r="W57" s="162"/>
      <x:c r="X57" s="162"/>
      <x:c r="Y57" s="162"/>
      <x:c r="Z57" s="162"/>
      <x:c r="AA57" s="162"/>
      <x:c r="AB57" s="162"/>
      <x:c r="AC57" s="162"/>
      <x:c r="AD57" s="162"/>
      <x:c r="AE57" s="162"/>
      <x:c r="AF57" s="162"/>
      <x:c r="AG57" s="162"/>
      <x:c r="AH57" s="162"/>
      <x:c r="AI57" s="162"/>
      <x:c r="AJ57" s="162"/>
    </x:row>
    <x:row r="58">
      <x:c r="A58" s="162"/>
      <x:c r="B58" s="162"/>
      <x:c r="C58" s="162"/>
      <x:c r="D58" s="162"/>
      <x:c r="E58" s="162"/>
      <x:c r="F58" s="162"/>
      <x:c r="G58" s="162"/>
      <x:c r="H58" s="162"/>
      <x:c r="I58" s="162"/>
      <x:c r="J58" s="162"/>
      <x:c r="K58" s="162"/>
      <x:c r="L58" s="162"/>
      <x:c r="M58" s="162"/>
      <x:c r="N58" s="162"/>
      <x:c r="O58" s="162"/>
      <x:c r="P58" s="162"/>
      <x:c r="Q58" s="162"/>
      <x:c r="R58" s="162"/>
      <x:c r="S58" s="162"/>
      <x:c r="T58" s="162"/>
      <x:c r="U58" s="162"/>
      <x:c r="V58" s="162"/>
      <x:c r="W58" s="162"/>
      <x:c r="X58" s="162"/>
      <x:c r="Y58" s="162"/>
      <x:c r="Z58" s="162"/>
      <x:c r="AA58" s="162"/>
      <x:c r="AB58" s="162"/>
      <x:c r="AC58" s="162"/>
      <x:c r="AD58" s="162"/>
      <x:c r="AE58" s="162"/>
      <x:c r="AF58" s="162"/>
      <x:c r="AG58" s="162"/>
      <x:c r="AH58" s="162"/>
      <x:c r="AI58" s="162"/>
      <x:c r="AJ58" s="162"/>
    </x:row>
    <x:row r="59">
      <x:c r="A59" s="162"/>
      <x:c r="B59" s="162"/>
      <x:c r="C59" s="162"/>
      <x:c r="D59" s="162"/>
      <x:c r="E59" s="162"/>
      <x:c r="F59" s="162"/>
      <x:c r="G59" s="162"/>
      <x:c r="H59" s="162"/>
      <x:c r="I59" s="162"/>
      <x:c r="J59" s="162"/>
      <x:c r="K59" s="162"/>
      <x:c r="L59" s="162"/>
      <x:c r="M59" s="162"/>
      <x:c r="N59" s="162"/>
      <x:c r="O59" s="162"/>
      <x:c r="P59" s="162"/>
      <x:c r="Q59" s="162"/>
      <x:c r="R59" s="162"/>
      <x:c r="S59" s="162"/>
      <x:c r="T59" s="162"/>
      <x:c r="U59" s="162"/>
      <x:c r="V59" s="162"/>
      <x:c r="W59" s="162"/>
      <x:c r="X59" s="162"/>
      <x:c r="Y59" s="162"/>
      <x:c r="Z59" s="162"/>
      <x:c r="AA59" s="162"/>
      <x:c r="AB59" s="162"/>
      <x:c r="AC59" s="162"/>
      <x:c r="AD59" s="162"/>
      <x:c r="AE59" s="162"/>
      <x:c r="AF59" s="162"/>
      <x:c r="AG59" s="162"/>
      <x:c r="AH59" s="162"/>
      <x:c r="AI59" s="162"/>
      <x:c r="AJ59" s="162"/>
    </x:row>
    <x:row r="60">
      <x:c r="A60" s="163" t="str">
        <x:v>Riding reconciliation</x:v>
      </x:c>
      <x:c r="B60" s="165" t="str">
        <x:v>Votes</x:v>
      </x:c>
      <x:c r="C60" s="162"/>
      <x:c r="D60" s="169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E60" s="170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F60" s="170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G60" s="170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H60" s="170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I60" s="170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J60" s="171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K60" s="162"/>
      <x:c r="L60" s="162"/>
      <x:c r="M60" s="162"/>
      <x:c r="N60" s="162"/>
      <x:c r="O60" s="162"/>
      <x:c r="P60" s="162"/>
      <x:c r="Q60" s="162"/>
      <x:c r="R60" s="162"/>
      <x:c r="S60" s="162"/>
      <x:c r="T60" s="162"/>
      <x:c r="U60" s="162"/>
      <x:c r="V60" s="162"/>
      <x:c r="W60" s="162"/>
      <x:c r="X60" s="162"/>
      <x:c r="Y60" s="162"/>
      <x:c r="Z60" s="162"/>
      <x:c r="AA60" s="162"/>
      <x:c r="AB60" s="162"/>
      <x:c r="AC60" s="162"/>
      <x:c r="AD60" s="162"/>
      <x:c r="AE60" s="162"/>
      <x:c r="AF60" s="162"/>
      <x:c r="AG60" s="162"/>
      <x:c r="AH60" s="162"/>
      <x:c r="AI60" s="162"/>
      <x:c r="AJ60" s="162"/>
    </x:row>
    <x:row r="61">
      <x:c r="A61" s="17" t="str">
        <x:v>Raw riding-table total</x:v>
      </x:c>
      <x:c r="B61" s="105" t="n">
        <x:v>374823</x:v>
      </x:c>
      <x:c r="C61" s="162"/>
      <x:c r="D61" s="172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E61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F61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G61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H61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I61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J61" s="174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K61" s="162"/>
      <x:c r="L61" s="162"/>
      <x:c r="M61" s="162"/>
      <x:c r="N61" s="162"/>
      <x:c r="O61" s="162"/>
      <x:c r="P61" s="162"/>
      <x:c r="Q61" s="162"/>
      <x:c r="R61" s="162"/>
      <x:c r="S61" s="162"/>
      <x:c r="T61" s="162"/>
      <x:c r="U61" s="162"/>
      <x:c r="V61" s="162"/>
      <x:c r="W61" s="162"/>
      <x:c r="X61" s="162"/>
      <x:c r="Y61" s="162"/>
      <x:c r="Z61" s="162"/>
      <x:c r="AA61" s="162"/>
      <x:c r="AB61" s="162"/>
      <x:c r="AC61" s="162"/>
      <x:c r="AD61" s="162"/>
      <x:c r="AE61" s="162"/>
      <x:c r="AF61" s="162"/>
      <x:c r="AG61" s="162"/>
      <x:c r="AH61" s="162"/>
      <x:c r="AI61" s="162"/>
      <x:c r="AJ61" s="162"/>
    </x:row>
    <x:row r="62">
      <x:c r="A62" s="18" t="str">
        <x:v>Withdrawn-candidate votes</x:v>
      </x:c>
      <x:c r="B62" s="106" t="n">
        <x:v>162</x:v>
      </x:c>
      <x:c r="C62" s="162"/>
      <x:c r="D62" s="172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E62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F62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G62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H62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I62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J62" s="174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K62" s="162"/>
      <x:c r="L62" s="162"/>
      <x:c r="M62" s="162"/>
      <x:c r="N62" s="162"/>
      <x:c r="O62" s="162"/>
      <x:c r="P62" s="162"/>
      <x:c r="Q62" s="162"/>
      <x:c r="R62" s="162"/>
      <x:c r="S62" s="162"/>
      <x:c r="T62" s="162"/>
      <x:c r="U62" s="162"/>
      <x:c r="V62" s="162"/>
      <x:c r="W62" s="162"/>
      <x:c r="X62" s="162"/>
      <x:c r="Y62" s="162"/>
      <x:c r="Z62" s="162"/>
      <x:c r="AA62" s="162"/>
      <x:c r="AB62" s="162"/>
      <x:c r="AC62" s="162"/>
      <x:c r="AD62" s="162"/>
      <x:c r="AE62" s="162"/>
      <x:c r="AF62" s="162"/>
      <x:c r="AG62" s="162"/>
      <x:c r="AH62" s="162"/>
      <x:c r="AI62" s="162"/>
      <x:c r="AJ62" s="162"/>
    </x:row>
    <x:row r="63">
      <x:c r="A63" s="18" t="str">
        <x:v>Adjusted official-valid total</x:v>
      </x:c>
      <x:c r="B63" s="106" t="n">
        <x:v>374661</x:v>
      </x:c>
      <x:c r="C63" s="162"/>
      <x:c r="D63" s="172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E63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F63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G63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H63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I63" s="173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J63" s="174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K63" s="162"/>
      <x:c r="L63" s="162"/>
      <x:c r="M63" s="162"/>
      <x:c r="N63" s="162"/>
      <x:c r="O63" s="162"/>
      <x:c r="P63" s="162"/>
      <x:c r="Q63" s="162"/>
      <x:c r="R63" s="162"/>
      <x:c r="S63" s="162"/>
      <x:c r="T63" s="162"/>
      <x:c r="U63" s="162"/>
      <x:c r="V63" s="162"/>
      <x:c r="W63" s="162"/>
      <x:c r="X63" s="162"/>
      <x:c r="Y63" s="162"/>
      <x:c r="Z63" s="162"/>
      <x:c r="AA63" s="162"/>
      <x:c r="AB63" s="162"/>
      <x:c r="AC63" s="162"/>
      <x:c r="AD63" s="162"/>
      <x:c r="AE63" s="162"/>
      <x:c r="AF63" s="162"/>
      <x:c r="AG63" s="162"/>
      <x:c r="AH63" s="162"/>
      <x:c r="AI63" s="162"/>
      <x:c r="AJ63" s="162"/>
    </x:row>
    <x:row r="64">
      <x:c r="A64" s="19" t="str">
        <x:v>Official report valid votes</x:v>
      </x:c>
      <x:c r="B64" s="107" t="n">
        <x:v>374661</x:v>
      </x:c>
      <x:c r="C64" s="162"/>
      <x:c r="D64" s="175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E64" s="176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F64" s="176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G64" s="176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H64" s="176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I64" s="176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J64" s="177" t="str">
        <x:v>The riding table includes 162 votes shown for withdrawn NDP candidate Bobby Martin in Saint John Portland-Simonds. Elections New Brunswick excludes them from the official NDP and valid-vote totals. The seat model uses only Liberal, PC and Green votes and is unaffected.</x:v>
      </x:c>
      <x:c r="K64" s="162"/>
      <x:c r="L64" s="162"/>
      <x:c r="M64" s="162"/>
      <x:c r="N64" s="162"/>
      <x:c r="O64" s="162"/>
      <x:c r="P64" s="162"/>
      <x:c r="Q64" s="162"/>
      <x:c r="R64" s="162"/>
      <x:c r="S64" s="162"/>
      <x:c r="T64" s="162"/>
      <x:c r="U64" s="162"/>
      <x:c r="V64" s="162"/>
      <x:c r="W64" s="162"/>
      <x:c r="X64" s="162"/>
      <x:c r="Y64" s="162"/>
      <x:c r="Z64" s="162"/>
      <x:c r="AA64" s="162"/>
      <x:c r="AB64" s="162"/>
      <x:c r="AC64" s="162"/>
      <x:c r="AD64" s="162"/>
      <x:c r="AE64" s="162"/>
      <x:c r="AF64" s="162"/>
      <x:c r="AG64" s="162"/>
      <x:c r="AH64" s="162"/>
      <x:c r="AI64" s="162"/>
      <x:c r="AJ64" s="162"/>
    </x:row>
  </x:sheetData>
  <x:mergeCells>
    <x:mergeCell ref="A1:AJ1"/>
    <x:mergeCell ref="A2:AJ2"/>
    <x:mergeCell ref="E3:H3"/>
    <x:mergeCell ref="I3:L3"/>
    <x:mergeCell ref="M3:P3"/>
    <x:mergeCell ref="Q3:T3"/>
    <x:mergeCell ref="U3:X3"/>
    <x:mergeCell ref="Y3:AB3"/>
    <x:mergeCell ref="AC3:AF3"/>
    <x:mergeCell ref="AG3:AJ3"/>
    <x:mergeCell ref="D60:J6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4" hidden="0" customWidth="1"/>
    <x:col min="7" max="7" width="28" hidden="0" customWidth="1"/>
    <x:col min="8" max="8" width="20" hidden="0" customWidth="1"/>
    <x:col min="9" max="9" width="48" hidden="0" customWidth="1"/>
    <x:col min="10" max="10" width="30" hidden="0" customWidth="1"/>
  </x:cols>
  <x:sheetData>
    <x:row r="1" ht="30" customHeight="1">
      <x:c r="A1" s="4" t="str">
        <x:v>Model assumptions, sensitivities and hindcast audit</x:v>
      </x:c>
      <x:c r="B1" s="4" t="str">
        <x:v>Model assumptions, sensitivities and hindcast audit</x:v>
      </x:c>
      <x:c r="C1" s="4" t="str">
        <x:v>Model assumptions, sensitivities and hindcast audit</x:v>
      </x:c>
      <x:c r="D1" s="4" t="str">
        <x:v>Model assumptions, sensitivities and hindcast audit</x:v>
      </x:c>
      <x:c r="E1" s="4" t="str">
        <x:v>Model assumptions, sensitivities and hindcast audit</x:v>
      </x:c>
      <x:c r="F1" s="4" t="str">
        <x:v>Model assumptions, sensitivities and hindcast audit</x:v>
      </x:c>
      <x:c r="G1" s="4" t="str">
        <x:v>Model assumptions, sensitivities and hindcast audit</x:v>
      </x:c>
      <x:c r="H1" s="4" t="str">
        <x:v>Model assumptions, sensitivities and hindcast audit</x:v>
      </x:c>
      <x:c r="I1" s="4" t="str">
        <x:v>Model assumptions, sensitivities and hindcast audit</x:v>
      </x:c>
      <x:c r="J1" s="4" t="str">
        <x:v>Model assumptions, sensitivities and hindcast audit</x:v>
      </x:c>
    </x:row>
    <x:row r="2" ht="25" customHeight="1">
      <x:c r="A2" s="161" t="str">
        <x:v>Visible formulas connect the headline estimate to the poll ledger. Long-range probabilities are deliberately not estimated.</x:v>
      </x:c>
      <x:c r="B2" s="161" t="str">
        <x:v>Visible formulas connect the headline estimate to the poll ledger. Long-range probabilities are deliberately not estimated.</x:v>
      </x:c>
      <x:c r="C2" s="161" t="str">
        <x:v>Visible formulas connect the headline estimate to the poll ledger. Long-range probabilities are deliberately not estimated.</x:v>
      </x:c>
      <x:c r="D2" s="161" t="str">
        <x:v>Visible formulas connect the headline estimate to the poll ledger. Long-range probabilities are deliberately not estimated.</x:v>
      </x:c>
      <x:c r="E2" s="161" t="str">
        <x:v>Visible formulas connect the headline estimate to the poll ledger. Long-range probabilities are deliberately not estimated.</x:v>
      </x:c>
      <x:c r="F2" s="161" t="str">
        <x:v>Visible formulas connect the headline estimate to the poll ledger. Long-range probabilities are deliberately not estimated.</x:v>
      </x:c>
      <x:c r="G2" s="161" t="str">
        <x:v>Visible formulas connect the headline estimate to the poll ledger. Long-range probabilities are deliberately not estimated.</x:v>
      </x:c>
      <x:c r="H2" s="161" t="str">
        <x:v>Visible formulas connect the headline estimate to the poll ledger. Long-range probabilities are deliberately not estimated.</x:v>
      </x:c>
      <x:c r="I2" s="161" t="str">
        <x:v>Visible formulas connect the headline estimate to the poll ledger. Long-range probabilities are deliberately not estimated.</x:v>
      </x:c>
      <x:c r="J2" s="161" t="str">
        <x:v>Visible formulas connect the headline estimate to the poll ledger. Long-range probabilities are deliberately not estimated.</x:v>
      </x:c>
    </x:row>
    <x:row r="3">
      <x:c r="A3" s="162"/>
      <x:c r="B3" s="162"/>
      <x:c r="C3" s="162"/>
      <x:c r="D3" s="162"/>
      <x:c r="E3" s="162"/>
      <x:c r="F3" s="162"/>
      <x:c r="G3" s="162"/>
      <x:c r="H3" s="162"/>
      <x:c r="I3" s="162"/>
      <x:c r="J3" s="162"/>
    </x:row>
    <x:row r="4" ht="30" customHeight="1">
      <x:c r="A4" s="39" t="str">
        <x:v>Assumption</x:v>
      </x:c>
      <x:c r="B4" s="41" t="str">
        <x:v>Value</x:v>
      </x:c>
      <x:c r="C4" s="162"/>
      <x:c r="D4" s="39" t="str">
        <x:v>Half-life</x:v>
      </x:c>
      <x:c r="E4" s="40" t="str">
        <x:v>Liberal</x:v>
      </x:c>
      <x:c r="F4" s="40" t="str">
        <x:v>PC</x:v>
      </x:c>
      <x:c r="G4" s="40" t="str">
        <x:v>Green</x:v>
      </x:c>
      <x:c r="H4" s="41" t="str">
        <x:v>L-PC margin</x:v>
      </x:c>
      <x:c r="I4" s="162"/>
      <x:c r="J4" s="162"/>
    </x:row>
    <x:row r="5">
      <x:c r="A5" s="17" t="str">
        <x:v>Recency half-life, days</x:v>
      </x:c>
      <x:c r="B5" s="17" t="n">
        <x:v>90</x:v>
      </x:c>
      <x:c r="C5" s="162"/>
      <x:c r="D5" s="17" t="n">
        <x:v>30</x:v>
      </x:c>
      <x:c r="E5" s="51" t="n">
        <x:v>43.8021568053796</x:v>
      </x:c>
      <x:c r="F5" s="51" t="n">
        <x:v>32.06643401848909</x:v>
      </x:c>
      <x:c r="G5" s="51" t="n">
        <x:v>13.657001518447824</x:v>
      </x:c>
      <x:c r="H5" s="51" t="n">
        <x:v>11.735722786890513</x:v>
      </x:c>
      <x:c r="I5" s="162"/>
      <x:c r="J5" s="162"/>
    </x:row>
    <x:row r="6">
      <x:c r="A6" s="18" t="str">
        <x:v>Core independent polls</x:v>
      </x:c>
      <x:c r="B6" s="18" t="n">
        <x:v>3</x:v>
      </x:c>
      <x:c r="C6" s="162"/>
      <x:c r="D6" s="18" t="n">
        <x:v>60</x:v>
      </x:c>
      <x:c r="E6" s="52" t="n">
        <x:v>43.31474636211466</x:v>
      </x:c>
      <x:c r="F6" s="52" t="n">
        <x:v>32.71787493842566</x:v>
      </x:c>
      <x:c r="G6" s="52" t="n">
        <x:v>13.502489604039464</x:v>
      </x:c>
      <x:c r="H6" s="52" t="n">
        <x:v>10.596871423689002</x:v>
      </x:c>
      <x:c r="I6" s="162"/>
      <x:c r="J6" s="162"/>
    </x:row>
    <x:row r="7">
      <x:c r="A7" s="18" t="str">
        <x:v>Latest field end</x:v>
      </x:c>
      <x:c r="B7" s="21" t="n">
        <x:v>46241.416666666664</x:v>
      </x:c>
      <x:c r="C7" s="162"/>
      <x:c r="D7" s="18" t="n">
        <x:v>90</x:v>
      </x:c>
      <x:c r="E7" s="52" t="n">
        <x:v>43.1541724958968</x:v>
      </x:c>
      <x:c r="F7" s="52" t="n">
        <x:v>32.964969227287966</x:v>
      </x:c>
      <x:c r="G7" s="52" t="n">
        <x:v>13.449355094858092</x:v>
      </x:c>
      <x:c r="H7" s="52" t="n">
        <x:v>10.189203268608836</x:v>
      </x:c>
      <x:c r="I7" s="162"/>
      <x:c r="J7" s="162"/>
    </x:row>
    <x:row r="8">
      <x:c r="A8" s="18" t="str">
        <x:v>Current Liberal</x:v>
      </x:c>
      <x:c r="B8" s="52" t="n">
        <x:f>SUMPRODUCT('Current Polls'!$J$5:$J$10,'Current Polls'!$S$5:$S$10)</x:f>
        <x:v>43.1541724958968</x:v>
      </x:c>
      <x:c r="C8" s="162"/>
      <x:c r="D8" s="19" t="n">
        <x:v>120</x:v>
      </x:c>
      <x:c r="E8" s="53" t="n">
        <x:v>43.07656675013757</x:v>
      </x:c>
      <x:c r="F8" s="53" t="n">
        <x:v>33.091797892851105</x:v>
      </x:c>
      <x:c r="G8" s="53" t="n">
        <x:v>13.42316612861984</x:v>
      </x:c>
      <x:c r="H8" s="53" t="n">
        <x:v>9.984768857286468</x:v>
      </x:c>
      <x:c r="I8" s="162"/>
      <x:c r="J8" s="162"/>
    </x:row>
    <x:row r="9">
      <x:c r="A9" s="18" t="str">
        <x:v>Current PC</x:v>
      </x:c>
      <x:c r="B9" s="52" t="n">
        <x:f>SUMPRODUCT('Current Polls'!$K$5:$K$10,'Current Polls'!$S$5:$S$10)</x:f>
        <x:v>32.964969227287966</x:v>
      </x:c>
      <x:c r="C9" s="162"/>
      <x:c r="D9" s="162"/>
      <x:c r="E9" s="162"/>
      <x:c r="F9" s="162"/>
      <x:c r="G9" s="162"/>
      <x:c r="H9" s="162"/>
      <x:c r="I9" s="162"/>
      <x:c r="J9" s="162"/>
    </x:row>
    <x:row r="10">
      <x:c r="A10" s="18" t="str">
        <x:v>Current Green</x:v>
      </x:c>
      <x:c r="B10" s="52" t="n">
        <x:f>SUMPRODUCT('Current Polls'!$L$5:$L$10,'Current Polls'!$S$5:$S$10)</x:f>
        <x:v>13.449355094858092</x:v>
      </x:c>
      <x:c r="C10" s="162"/>
      <x:c r="D10" s="162"/>
      <x:c r="E10" s="162"/>
      <x:c r="F10" s="162"/>
      <x:c r="G10" s="162"/>
      <x:c r="H10" s="162"/>
      <x:c r="I10" s="162"/>
      <x:c r="J10" s="162"/>
    </x:row>
    <x:row r="11">
      <x:c r="A11" s="18" t="str">
        <x:v>Current L-PC margin</x:v>
      </x:c>
      <x:c r="B11" s="52" t="n">
        <x:f>B8-B9</x:f>
        <x:v>10.189203268608836</x:v>
      </x:c>
      <x:c r="C11" s="162"/>
      <x:c r="D11" s="162"/>
      <x:c r="E11" s="162"/>
      <x:c r="F11" s="162"/>
      <x:c r="G11" s="162"/>
      <x:c r="H11" s="162"/>
      <x:c r="I11" s="162"/>
      <x:c r="J11" s="162"/>
    </x:row>
    <x:row r="12">
      <x:c r="A12" s="19" t="str">
        <x:v>Ensemble reference SE</x:v>
      </x:c>
      <x:c r="B12" s="53" t="n">
        <x:v>3.1768361295372682</x:v>
      </x:c>
      <x:c r="C12" s="162"/>
      <x:c r="D12" s="162"/>
      <x:c r="E12" s="162"/>
      <x:c r="F12" s="162"/>
      <x:c r="G12" s="162"/>
      <x:c r="H12" s="162"/>
      <x:c r="I12" s="162"/>
      <x:c r="J12" s="162"/>
    </x:row>
    <x:row r="13">
      <x:c r="A13" s="17" t="str">
        <x:v>90% lower reference</x:v>
      </x:c>
      <x:c r="B13" s="51" t="n">
        <x:f>B11-1.645*B12</x:f>
        <x:v>4.9633078355200295</x:v>
      </x:c>
      <x:c r="C13" s="162"/>
      <x:c r="D13" s="162"/>
      <x:c r="E13" s="162"/>
      <x:c r="F13" s="162"/>
      <x:c r="G13" s="162"/>
      <x:c r="H13" s="162"/>
      <x:c r="I13" s="162"/>
      <x:c r="J13" s="162"/>
    </x:row>
    <x:row r="14">
      <x:c r="A14" s="19" t="str">
        <x:v>90% upper reference</x:v>
      </x:c>
      <x:c r="B14" s="53" t="n">
        <x:f>B11+1.645*B12</x:f>
        <x:v>15.41509870169764</x:v>
      </x:c>
      <x:c r="C14" s="162"/>
      <x:c r="D14" s="162"/>
      <x:c r="E14" s="162"/>
      <x:c r="F14" s="162"/>
      <x:c r="G14" s="162"/>
      <x:c r="H14" s="162"/>
      <x:c r="I14" s="162"/>
      <x:c r="J14" s="162"/>
    </x:row>
    <x:row r="15">
      <x:c r="A15" s="162"/>
      <x:c r="B15" s="162"/>
      <x:c r="C15" s="162"/>
      <x:c r="D15" s="162"/>
      <x:c r="E15" s="162"/>
      <x:c r="F15" s="162"/>
      <x:c r="G15" s="162"/>
      <x:c r="H15" s="162"/>
      <x:c r="I15" s="162"/>
      <x:c r="J15" s="162"/>
    </x:row>
    <x:row r="16">
      <x:c r="A16" s="162"/>
      <x:c r="B16" s="162"/>
      <x:c r="C16" s="162"/>
      <x:c r="D16" s="162"/>
      <x:c r="E16" s="162"/>
      <x:c r="F16" s="162"/>
      <x:c r="G16" s="162"/>
      <x:c r="H16" s="162"/>
      <x:c r="I16" s="162"/>
      <x:c r="J16" s="162"/>
    </x:row>
    <x:row r="17" ht="30" customHeight="1">
      <x:c r="A17" s="39" t="str">
        <x:v>Benchmark</x:v>
      </x:c>
      <x:c r="B17" s="40" t="str">
        <x:v>MAE all four</x:v>
      </x:c>
      <x:c r="C17" s="40" t="str">
        <x:v>MAE without Higgs</x:v>
      </x:c>
      <x:c r="D17" s="40" t="str">
        <x:v>n all</x:v>
      </x:c>
      <x:c r="E17" s="41" t="str">
        <x:v>n without Higgs</x:v>
      </x:c>
      <x:c r="F17" s="162"/>
      <x:c r="G17" s="39" t="str">
        <x:v>Model layer</x:v>
      </x:c>
      <x:c r="H17" s="40" t="str">
        <x:v>Status</x:v>
      </x:c>
      <x:c r="I17" s="40" t="str">
        <x:v>Reason</x:v>
      </x:c>
      <x:c r="J17" s="41" t="str">
        <x:v>Permitted output</x:v>
      </x:c>
    </x:row>
    <x:row r="18">
      <x:c r="A18" s="17" t="str">
        <x:v>Election carry-forward</x:v>
      </x:c>
      <x:c r="B18" s="51" t="n">
        <x:v>9.808667958031965</x:v>
      </x:c>
      <x:c r="C18" s="51" t="n">
        <x:v>10.593808650976706</x:v>
      </x:c>
      <x:c r="D18" s="17" t="n">
        <x:v>4</x:v>
      </x:c>
      <x:c r="E18" s="17" t="n">
        <x:v>3</x:v>
      </x:c>
      <x:c r="F18" s="162"/>
      <x:c r="G18" s="17" t="str">
        <x:v>Current polling</x:v>
      </x:c>
      <x:c r="H18" s="17" t="str">
        <x:v>USED</x:v>
      </x:c>
      <x:c r="I18" s="17" t="str">
        <x:v>Three independent recent polls</x:v>
      </x:c>
      <x:c r="J18" s="17" t="str">
        <x:v>Time-decayed ensemble</x:v>
      </x:c>
    </x:row>
    <x:row r="19">
      <x:c r="A19" s="18" t="str">
        <x:v>LOO mean poll-to-election drift</x:v>
      </x:c>
      <x:c r="B19" s="52" t="n">
        <x:v>6.578147167955002</x:v>
      </x:c>
      <x:c r="C19" s="52" t="n">
        <x:v>4.42344978158403</x:v>
      </x:c>
      <x:c r="D19" s="18" t="n">
        <x:v>4</x:v>
      </x:c>
      <x:c r="E19" s="18" t="n">
        <x:v>3</x:v>
      </x:c>
      <x:c r="F19" s="162"/>
      <x:c r="G19" s="18" t="str">
        <x:v>Random-effects diagnostic</x:v>
      </x:c>
      <x:c r="H19" s="18" t="str">
        <x:v>USED WITH CAVEAT</x:v>
      </x:c>
      <x:c r="I19" s="18" t="str">
        <x:v>Captures observed poll spread</x:v>
      </x:c>
      <x:c r="J19" s="18" t="str">
        <x:v>Reference interval only</x:v>
      </x:c>
    </x:row>
    <x:row r="20">
      <x:c r="A20" s="19" t="str">
        <x:v>Poll carry-forward</x:v>
      </x:c>
      <x:c r="B20" s="53" t="n">
        <x:v>9.609762192159872</x:v>
      </x:c>
      <x:c r="C20" s="53" t="n">
        <x:v>12.698404720785787</x:v>
      </x:c>
      <x:c r="D20" s="19" t="n">
        <x:v>4</x:v>
      </x:c>
      <x:c r="E20" s="19" t="n">
        <x:v>3</x:v>
      </x:c>
      <x:c r="F20" s="162"/>
      <x:c r="G20" s="18" t="str">
        <x:v>State-space model</x:v>
      </x:c>
      <x:c r="H20" s="120" t="str">
        <x:v>WITHDRAWN</x:v>
      </x:c>
      <x:c r="I20" s="18" t="str">
        <x:v>Series too sparse and methods not identified</x:v>
      </x:c>
      <x:c r="J20" s="18" t="str">
        <x:v>None</x:v>
      </x:c>
    </x:row>
    <x:row r="21">
      <x:c r="A21" s="162"/>
      <x:c r="B21" s="162"/>
      <x:c r="C21" s="162"/>
      <x:c r="D21" s="162"/>
      <x:c r="E21" s="162"/>
      <x:c r="F21" s="162"/>
      <x:c r="G21" s="18" t="str">
        <x:v>Canadian hierarchy</x:v>
      </x:c>
      <x:c r="H21" s="120" t="str">
        <x:v>NOT ESTIMATED</x:v>
      </x:c>
      <x:c r="I21" s="18" t="str">
        <x:v>No verified 30+ mandate vintage dataset</x:v>
      </x:c>
      <x:c r="J21" s="18" t="str">
        <x:v>None</x:v>
      </x:c>
    </x:row>
    <x:row r="22">
      <x:c r="A22" s="162"/>
      <x:c r="B22" s="162"/>
      <x:c r="C22" s="162"/>
      <x:c r="D22" s="162"/>
      <x:c r="E22" s="162"/>
      <x:c r="F22" s="162"/>
      <x:c r="G22" s="19" t="str">
        <x:v>Probabilistic seat simulation</x:v>
      </x:c>
      <x:c r="H22" s="121" t="str">
        <x:v>WITHDRAWN</x:v>
      </x:c>
      <x:c r="I22" s="19" t="str">
        <x:v>Regional and riding residuals not calibrated</x:v>
      </x:c>
      <x:c r="J22" s="19" t="str">
        <x:v>Uniform-swing scenarios</x:v>
      </x:c>
    </x:row>
    <x:row r="23">
      <x:c r="A23" s="162"/>
      <x:c r="B23" s="162"/>
      <x:c r="C23" s="162"/>
      <x:c r="D23" s="162"/>
      <x:c r="E23" s="162"/>
      <x:c r="F23" s="162"/>
      <x:c r="G23" s="162"/>
      <x:c r="H23" s="162"/>
      <x:c r="I23" s="162"/>
      <x:c r="J23" s="162"/>
    </x:row>
    <x:row r="24">
      <x:c r="A24" s="162"/>
      <x:c r="B24" s="162"/>
      <x:c r="C24" s="162"/>
      <x:c r="D24" s="162"/>
      <x:c r="E24" s="162"/>
      <x:c r="F24" s="162"/>
      <x:c r="G24" s="162"/>
      <x:c r="H24" s="162"/>
      <x:c r="I24" s="162"/>
      <x:c r="J24" s="162"/>
    </x:row>
    <x:row r="25">
      <x:c r="A25" s="169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B25" s="170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C25" s="170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D25" s="170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E25" s="170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F25" s="170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G25" s="170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H25" s="170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I25" s="170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J25" s="171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</x:row>
    <x:row r="26">
      <x:c r="A26" s="172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B26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C26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D26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E26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F26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G26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H26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I26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J26" s="174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</x:row>
    <x:row r="27">
      <x:c r="A27" s="172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B27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C27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D27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E27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F27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G27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H27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I27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J27" s="174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</x:row>
    <x:row r="28">
      <x:c r="A28" s="172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B28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C28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D28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E28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F28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G28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H28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I28" s="173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J28" s="174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</x:row>
    <x:row r="29">
      <x:c r="A29" s="175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B29" s="176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C29" s="176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D29" s="176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E29" s="176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F29" s="176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G29" s="176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H29" s="176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I29" s="176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  <x:c r="J29" s="177" t="str">
        <x:v>Reference interval combines nominal multinomial sampling variance with between-poll heterogeneity. Narrative's effective n is derived from rounded response shares and Abacus uses total n because its decided base is undisclosed, making the nominal inputs optimistic. Tau is unstable with only three polls. This is not a classical confidence interval for non-probability panels and does not cover future political change.</x:v>
      </x:c>
    </x:row>
  </x:sheetData>
  <x:mergeCells>
    <x:mergeCell ref="A1:J1"/>
    <x:mergeCell ref="A2:J2"/>
    <x:mergeCell ref="A25:J2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32" hidden="0" customWidth="1"/>
    <x:col min="4" max="4" width="13" hidden="0" customWidth="1"/>
    <x:col min="5" max="5" width="14" hidden="0" customWidth="1"/>
    <x:col min="6" max="6" width="85" hidden="0" customWidth="1"/>
  </x:cols>
  <x:sheetData>
    <x:row r="1" ht="30" customHeight="1">
      <x:c r="A1" s="4" t="str">
        <x:v>Claim-to-source ledger</x:v>
      </x:c>
      <x:c r="B1" s="4" t="str">
        <x:v>Claim-to-source ledger</x:v>
      </x:c>
      <x:c r="C1" s="4" t="str">
        <x:v>Claim-to-source ledger</x:v>
      </x:c>
      <x:c r="D1" s="4" t="str">
        <x:v>Claim-to-source ledger</x:v>
      </x:c>
      <x:c r="E1" s="4" t="str">
        <x:v>Claim-to-source ledger</x:v>
      </x:c>
      <x:c r="F1" s="4" t="str">
        <x:v>Claim-to-source ledger</x:v>
      </x:c>
    </x:row>
    <x:row r="2" ht="25" customHeight="1">
      <x:c r="A2" s="161" t="str">
        <x:v>URLs are plain text for auditability. Source grades apply to the cited use, not to every possible claim on the page.</x:v>
      </x:c>
      <x:c r="B2" s="161" t="str">
        <x:v>URLs are plain text for auditability. Source grades apply to the cited use, not to every possible claim on the page.</x:v>
      </x:c>
      <x:c r="C2" s="161" t="str">
        <x:v>URLs are plain text for auditability. Source grades apply to the cited use, not to every possible claim on the page.</x:v>
      </x:c>
      <x:c r="D2" s="161" t="str">
        <x:v>URLs are plain text for auditability. Source grades apply to the cited use, not to every possible claim on the page.</x:v>
      </x:c>
      <x:c r="E2" s="161" t="str">
        <x:v>URLs are plain text for auditability. Source grades apply to the cited use, not to every possible claim on the page.</x:v>
      </x:c>
      <x:c r="F2" s="161" t="str">
        <x:v>URLs are plain text for auditability. Source grades apply to the cited use, not to every possible claim on the page.</x:v>
      </x:c>
    </x:row>
    <x:row r="3">
      <x:c r="A3" s="162"/>
      <x:c r="B3" s="162"/>
      <x:c r="C3" s="162"/>
      <x:c r="D3" s="162"/>
      <x:c r="E3" s="162"/>
      <x:c r="F3" s="162"/>
    </x:row>
    <x:row r="4" ht="30" customHeight="1">
      <x:c r="A4" s="39" t="str">
        <x:v>ID</x:v>
      </x:c>
      <x:c r="B4" s="40" t="str">
        <x:v>Title</x:v>
      </x:c>
      <x:c r="C4" s="40" t="str">
        <x:v>Publisher</x:v>
      </x:c>
      <x:c r="D4" s="40" t="str">
        <x:v>Date</x:v>
      </x:c>
      <x:c r="E4" s="40" t="str">
        <x:v>Grade</x:v>
      </x:c>
      <x:c r="F4" s="41" t="str">
        <x:v>URL / use</x:v>
      </x:c>
    </x:row>
    <x:row r="5">
      <x:c r="A5" s="17" t="str">
        <x:v>S01</x:v>
      </x:c>
      <x:c r="B5" s="17" t="str">
        <x:v>Forty-First Provincial General Election report</x:v>
      </x:c>
      <x:c r="C5" s="17" t="str">
        <x:v>Elections New Brunswick</x:v>
      </x:c>
      <x:c r="D5" s="20" t="n">
        <x:v>45810.416666666664</x:v>
      </x:c>
      <x:c r="E5" s="17" t="str">
        <x:v>A</x:v>
      </x:c>
      <x:c r="F5" s="28" t="str">
        <x:v>https://www.electionsnb.ca/content/dam/enb/pdf/october-21-2024-forty-first-provincial-general-election.pdf
Use: Official 2024 votes, seats, turnout and comparative 2014-2020 results.</x:v>
      </x:c>
    </x:row>
    <x:row r="6">
      <x:c r="A6" s="18" t="str">
        <x:v>S02</x:v>
      </x:c>
      <x:c r="B6" s="18" t="str">
        <x:v>Provincial Election Results</x:v>
      </x:c>
      <x:c r="C6" s="18" t="str">
        <x:v>Elections New Brunswick</x:v>
      </x:c>
      <x:c r="D6" s="21"/>
      <x:c r="E6" s="18" t="str">
        <x:v>A</x:v>
      </x:c>
      <x:c r="F6" s="29" t="str">
        <x:v>https://www.electionsnb.ca/content/enb/en/resources/publications/election-results.html
Use: Official report index.</x:v>
      </x:c>
    </x:row>
    <x:row r="7">
      <x:c r="A7" s="18" t="str">
        <x:v>S03</x:v>
      </x:c>
      <x:c r="B7" s="18" t="str">
        <x:v>Thirty-Sixth Provincial General Election report</x:v>
      </x:c>
      <x:c r="C7" s="18" t="str">
        <x:v>Elections New Brunswick</x:v>
      </x:c>
      <x:c r="D7" s="21" t="n">
        <x:v>38718.458333333336</x:v>
      </x:c>
      <x:c r="E7" s="18" t="str">
        <x:v>A</x:v>
      </x:c>
      <x:c r="F7" s="29" t="str">
        <x:v>https://www.electionsnb.ca/content/dam/enb/pdf/2006ProvRpt.pdf
Use: Official 2006 votes and seats.</x:v>
      </x:c>
    </x:row>
    <x:row r="8">
      <x:c r="A8" s="18" t="str">
        <x:v>S04</x:v>
      </x:c>
      <x:c r="B8" s="18" t="str">
        <x:v>Legislative Assembly Act</x:v>
      </x:c>
      <x:c r="C8" s="18" t="str">
        <x:v>New Brunswick Laws</x:v>
      </x:c>
      <x:c r="D8" s="21"/>
      <x:c r="E8" s="18" t="str">
        <x:v>A</x:v>
      </x:c>
      <x:c r="F8" s="29" t="str">
        <x:v>https://laws.gnb.ca/en/document/cs/2014%2C%20c.116
Use: Current consolidated section 3 fixed-date rule and dissolution discretion, verified August 26, 2026.</x:v>
      </x:c>
    </x:row>
    <x:row r="9">
      <x:c r="A9" s="18" t="str">
        <x:v>S05</x:v>
      </x:c>
      <x:c r="B9" s="18" t="str">
        <x:v>Office of the Premier</x:v>
      </x:c>
      <x:c r="C9" s="18" t="str">
        <x:v>Government of New Brunswick</x:v>
      </x:c>
      <x:c r="D9" s="21"/>
      <x:c r="E9" s="18" t="str">
        <x:v>A</x:v>
      </x:c>
      <x:c r="F9" s="29" t="str">
        <x:v>https://www.gnb.ca/en/org/office-of-the-premier.html
Use: Holt became Premier November 2, 2024.</x:v>
      </x:c>
    </x:row>
    <x:row r="10">
      <x:c r="A10" s="18" t="str">
        <x:v>S06</x:v>
      </x:c>
      <x:c r="B10" s="18" t="str">
        <x:v>Holt's Liberals maintain strong lead</x:v>
      </x:c>
      <x:c r="C10" s="18" t="str">
        <x:v>Abacus Data</x:v>
      </x:c>
      <x:c r="D10" s="21" t="n">
        <x:v>46248.416666666664</x:v>
      </x:c>
      <x:c r="E10" s="18" t="str">
        <x:v>A-</x:v>
      </x:c>
      <x:c r="F10" s="29" t="str">
        <x:v>https://abacusdata.ca/holts-liberals-maintain-strong-lead-as-pcs-search-for-new-leader/
Use: Current vote intention, government handling, favourability and regional results.</x:v>
      </x:c>
    </x:row>
    <x:row r="11">
      <x:c r="A11" s="18" t="str">
        <x:v>S07</x:v>
      </x:c>
      <x:c r="B11" s="18" t="str">
        <x:v>First public semi-annual New Brunswick poll</x:v>
      </x:c>
      <x:c r="C11" s="18" t="str">
        <x:v>Porter O'Brien</x:v>
      </x:c>
      <x:c r="D11" s="21" t="n">
        <x:v>46196.416666666664</x:v>
      </x:c>
      <x:c r="E11" s="18" t="str">
        <x:v>A</x:v>
      </x:c>
      <x:c r="F11" s="29" t="str">
        <x:v>https://www.porterobrien.com/post/porter-o-brien-releases-first-public-semi-annual-new-brunswick-poll-liberals-narrowly-lead-pcs-amo
Use: Current vote intention and regional results. Release text says June 23; CMS byline displays June 26.</x:v>
      </x:c>
    </x:row>
    <x:row r="12">
      <x:c r="A12" s="18" t="str">
        <x:v>S08</x:v>
      </x:c>
      <x:c r="B12" s="18" t="str">
        <x:v>Low provincial government satisfaction levels reflected in voter intentions</x:v>
      </x:c>
      <x:c r="C12" s="18" t="str">
        <x:v>Narrative Research</x:v>
      </x:c>
      <x:c r="D12" s="21" t="n">
        <x:v>46205.416666666664</x:v>
      </x:c>
      <x:c r="E12" s="18" t="str">
        <x:v>A</x:v>
      </x:c>
      <x:c r="F12" s="29" t="str">
        <x:v>https://narrativeresearch.ca/low-provincial-government-satisfaction-levels-reflected-in-voter-intentions-across-atlantic-canada/
Use: Current all-eligible vote intention, satisfaction and preferred premier.</x:v>
      </x:c>
    </x:row>
    <x:row r="13">
      <x:c r="A13" s="18" t="str">
        <x:v>S09</x:v>
      </x:c>
      <x:c r="B13" s="18" t="str">
        <x:v>Premiers' performance, June 2026</x:v>
      </x:c>
      <x:c r="C13" s="18" t="str">
        <x:v>Angus Reid Institute</x:v>
      </x:c>
      <x:c r="D13" s="21" t="n">
        <x:v>46191.416666666664</x:v>
      </x:c>
      <x:c r="E13" s="18" t="str">
        <x:v>A</x:v>
      </x:c>
      <x:c r="F13" s="29" t="str">
        <x:v>https://angusreid.org/premiers-performance-june-2026/
Use: Holt personal approval.</x:v>
      </x:c>
    </x:row>
    <x:row r="14">
      <x:c r="A14" s="18" t="str">
        <x:v>S10</x:v>
      </x:c>
      <x:c r="B14" s="18" t="str">
        <x:v>New Brunswick July 2016 Report</x:v>
      </x:c>
      <x:c r="C14" s="18" t="str">
        <x:v>MQO Research</x:v>
      </x:c>
      <x:c r="D14" s="21" t="n">
        <x:v>42552.416666666664</x:v>
      </x:c>
      <x:c r="E14" s="18" t="str">
        <x:v>A- archived</x:v>
      </x:c>
      <x:c r="F14" s="29" t="str">
        <x:v>https://web.archive.org/web/20170207112809/https://www.mqoresearch.com/am-nb-0716.pdf
Use: Gallant day-674 poll.</x:v>
      </x:c>
    </x:row>
    <x:row r="15">
      <x:c r="A15" s="18" t="str">
        <x:v>S11</x:v>
      </x:c>
      <x:c r="B15" s="18" t="str">
        <x:v>COVID-19 creates comfort zone for incumbent governments</x:v>
      </x:c>
      <x:c r="C15" s="18" t="str">
        <x:v>Angus Reid Institute</x:v>
      </x:c>
      <x:c r="D15" s="21" t="n">
        <x:v>43990.416666666664</x:v>
      </x:c>
      <x:c r="E15" s="18" t="str">
        <x:v>A</x:v>
      </x:c>
      <x:c r="F15" s="29" t="str">
        <x:v>https://angusreid.org/provincial-outlook-june2020/
Use: Closest pre-cutoff Higgs poll and approval.</x:v>
      </x:c>
    </x:row>
    <x:row r="16">
      <x:c r="A16" s="18" t="str">
        <x:v>S12</x:v>
      </x:c>
      <x:c r="B16" s="18" t="str">
        <x:v>Satisfaction reaches highest level recorded</x:v>
      </x:c>
      <x:c r="C16" s="18" t="str">
        <x:v>Narrative Research</x:v>
      </x:c>
      <x:c r="D16" s="21" t="n">
        <x:v>43978.416666666664</x:v>
      </x:c>
      <x:c r="E16" s="18" t="str">
        <x:v>A</x:v>
      </x:c>
      <x:c r="F16" s="29" t="str">
        <x:v>https://narrativeresearch.ca/satisfaction-with-the-performance-of-the-nb-government-reaches-highest-level-ever-recorded-for-the-province/
Use: Higgs telephone sensitivity.</x:v>
      </x:c>
    </x:row>
    <x:row r="17">
      <x:c r="A17" s="18" t="str">
        <x:v>S13</x:v>
      </x:c>
      <x:c r="B17" s="18" t="str">
        <x:v>Tories drop in support but still ahead in New Brunswick</x:v>
      </x:c>
      <x:c r="C17" s="18" t="str">
        <x:v>Global News / CRA</x:v>
      </x:c>
      <x:c r="D17" s="21" t="n">
        <x:v>41067.416666666664</x:v>
      </x:c>
      <x:c r="E17" s="18" t="str">
        <x:v>B</x:v>
      </x:c>
      <x:c r="F17" s="29" t="str">
        <x:v>https://globalnews.ca/news/253743/tories-drop-in-support-but-still-ahead-in-n-l-n-b-cra-poll/
Use: Alward pre-cutoff poll details.</x:v>
      </x:c>
    </x:row>
    <x:row r="18">
      <x:c r="A18" s="18" t="str">
        <x:v>S14</x:v>
      </x:c>
      <x:c r="B18" s="18" t="str">
        <x:v>Miramichi West by-election results</x:v>
      </x:c>
      <x:c r="C18" s="18" t="str">
        <x:v>Legislative Library of New Brunswick</x:v>
      </x:c>
      <x:c r="D18" s="21" t="n">
        <x:v>45936.416666666664</x:v>
      </x:c>
      <x:c r="E18" s="18" t="str">
        <x:v>A</x:v>
      </x:c>
      <x:c r="F18" s="29" t="str">
        <x:v>https://www1.gnb.ca/leglibbib/en/Resources/NBElections.aspx/ElectionResults/10-6-2025
Use: Local by-election diagnostic.</x:v>
      </x:c>
    </x:row>
    <x:row r="19">
      <x:c r="A19" s="18" t="str">
        <x:v>S15</x:v>
      </x:c>
      <x:c r="B19" s="18" t="str">
        <x:v>PCNB Leadership Election</x:v>
      </x:c>
      <x:c r="C19" s="18" t="str">
        <x:v>Progressive Conservative Party of New Brunswick</x:v>
      </x:c>
      <x:c r="D19" s="21" t="n">
        <x:v>46023.458333333336</x:v>
      </x:c>
      <x:c r="E19" s="18" t="str">
        <x:v>A first-party</x:v>
      </x:c>
      <x:c r="F19" s="29" t="str">
        <x:v>https://pcnb.ca/event/pcnb-leadership-election/
Use: October 17, 2026 opposition-leadership breakpoint.</x:v>
      </x:c>
    </x:row>
    <x:row r="20">
      <x:c r="A20" s="18" t="str">
        <x:v>S16</x:v>
      </x:c>
      <x:c r="B20" s="18" t="str">
        <x:v>Support for the New Brunswick Liberal Party rebounds</x:v>
      </x:c>
      <x:c r="C20" s="18" t="str">
        <x:v>Corporate Research Associates</x:v>
      </x:c>
      <x:c r="D20" s="21" t="n">
        <x:v>42530.416666666664</x:v>
      </x:c>
      <x:c r="E20" s="18" t="str">
        <x:v>A- archived</x:v>
      </x:c>
      <x:c r="F20" s="29" t="str">
        <x:v>https://web.archive.org/web/20170510125642/https://cra.ca/wp-content/uploads/2016/06/16-2-NB-Press-Release-29348243950262.pdf
Use: Gallant government satisfaction and preferred-premier measures from a separate May 2016 wave.</x:v>
      </x:c>
    </x:row>
    <x:row r="21">
      <x:c r="A21" s="18" t="str">
        <x:v>S17</x:v>
      </x:c>
      <x:c r="B21" s="18" t="str">
        <x:v>Satisfaction remains high despite trending down after election call</x:v>
      </x:c>
      <x:c r="C21" s="18" t="str">
        <x:v>Narrative Research</x:v>
      </x:c>
      <x:c r="D21" s="21" t="n">
        <x:v>44070.416666666664</x:v>
      </x:c>
      <x:c r="E21" s="18" t="str">
        <x:v>A</x:v>
      </x:c>
      <x:c r="F21" s="29" t="str">
        <x:v>https://narrativeresearch.ca/satisfaction-levels-with-the-nb-provincial-government-remain-high-despite-trending-down-after-the-election-call/
Use: Post-cutoff Higgs sensitivity and election-call overlap.</x:v>
      </x:c>
    </x:row>
    <x:row r="22">
      <x:c r="A22" s="18" t="str">
        <x:v>S18</x:v>
      </x:c>
      <x:c r="B22" s="18" t="str">
        <x:v>CRA Atlantic Quarterly Summer 2008 New Brunswick tables</x:v>
      </x:c>
      <x:c r="C22" s="18" t="str">
        <x:v>Corporate Research Associates</x:v>
      </x:c>
      <x:c r="D22" s="21" t="n">
        <x:v>39695.416666666664</x:v>
      </x:c>
      <x:c r="E22" s="18" t="str">
        <x:v>A- archived</x:v>
      </x:c>
      <x:c r="F22" s="29" t="str">
        <x:v>https://web.archive.org/web/20081219114350/http://www.cra.ca/site-cra/media/CRA/08-3%20NB%20Tables.pdf
Use: Graham May 2008 retrospective values and fully documented post-cutoff Summer wave.</x:v>
      </x:c>
    </x:row>
    <x:row r="23">
      <x:c r="A23" s="18" t="str">
        <x:v>S19</x:v>
      </x:c>
      <x:c r="B23" s="18" t="str">
        <x:v>Atlantic Canadians largely satisfied with provincial and federal governments</x:v>
      </x:c>
      <x:c r="C23" s="18" t="str">
        <x:v>Narrative Research</x:v>
      </x:c>
      <x:c r="D23" s="21" t="n">
        <x:v>45911.416666666664</x:v>
      </x:c>
      <x:c r="E23" s="18" t="str">
        <x:v>A</x:v>
      </x:c>
      <x:c r="F23" s="29" t="str">
        <x:v>https://narrativeresearch.ca/atlantic-canadians-are-largely-satisfied-with-the-performance-of-both-their-provincial-and-federal-governments/
Use: August 2025 Holt-government satisfaction.</x:v>
      </x:c>
    </x:row>
    <x:row r="24">
      <x:c r="A24" s="19" t="str">
        <x:v>S20</x:v>
      </x:c>
      <x:c r="B24" s="19" t="str">
        <x:v>One year in, Holt Liberals strengthen their lead</x:v>
      </x:c>
      <x:c r="C24" s="19" t="str">
        <x:v>Abacus Data</x:v>
      </x:c>
      <x:c r="D24" s="50" t="n">
        <x:v>45973.458333333336</x:v>
      </x:c>
      <x:c r="E24" s="19" t="str">
        <x:v>A-</x:v>
      </x:c>
      <x:c r="F24" s="30" t="str">
        <x:v>https://abacusdata.ca/abacus-data-new-brunswick-poll-one-year-in-susan-holts-liberals-strengthen-their-lead/
Use: October 2025 vote-intention comparison.</x:v>
      </x:c>
    </x:row>
  </x:sheetData>
  <x:mergeCells>
    <x:mergeCell ref="A1:F1"/>
    <x:mergeCell ref="A2:F2"/>
  </x:mergeCells>
  <x:pageMargins left="0.7" right="0.7" top="0.75" bottom="0.75" header="0.3" footer="0.3"/>
</x:worksheet>
</file>